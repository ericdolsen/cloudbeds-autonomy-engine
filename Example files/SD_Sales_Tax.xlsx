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Raw_CurrentMonth" sheetId="3" state="visible" r:id="rId3"/>
    <sheet xmlns:r="http://schemas.openxmlformats.org/officeDocument/2006/relationships" name="Raw_PriorMonth" sheetId="4" state="visible" r:id="rId4"/>
    <sheet xmlns:r="http://schemas.openxmlformats.org/officeDocument/2006/relationships" name="Tax_Summary" sheetId="5" state="visible" r:id="rId5"/>
    <sheet xmlns:r="http://schemas.openxmlformats.org/officeDocument/2006/relationships" name="State_Fil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%"/>
    <numFmt numFmtId="165" formatCode="yyyy-mm-dd"/>
    <numFmt numFmtId="166" formatCode="&quot;$&quot;#,##0.00;(&quot;$&quot;#,##0.00);&quot;-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color theme="1"/>
      <sz val="11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606060"/>
      <sz val="9"/>
    </font>
    <font>
      <name val="Arial"/>
      <color rgb="00606060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8000"/>
      <sz val="10"/>
    </font>
    <font>
      <name val="Arial"/>
      <sz val="10"/>
    </font>
    <font>
      <name val="Arial"/>
      <b val="1"/>
      <color rgb="00FF0000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5" fillId="4" borderId="1" pivotButton="0" quotePrefix="0" xfId="0"/>
    <xf numFmtId="164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166" fontId="5" fillId="0" borderId="1" pivotButton="0" quotePrefix="0" xfId="0"/>
    <xf numFmtId="1" fontId="9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166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166" fontId="10" fillId="0" borderId="1" pivotButton="0" quotePrefix="0" xfId="0"/>
    <xf numFmtId="0" fontId="2" fillId="5" borderId="0" pivotButton="0" quotePrefix="0" xfId="0"/>
    <xf numFmtId="166" fontId="9" fillId="5" borderId="1" pivotButton="0" quotePrefix="0" xfId="0"/>
    <xf numFmtId="0" fontId="2" fillId="6" borderId="0" pivotButton="0" quotePrefix="0" xfId="0"/>
    <xf numFmtId="166" fontId="2" fillId="5" borderId="1" pivotButton="0" quotePrefix="0" xfId="0"/>
    <xf numFmtId="0" fontId="12" fillId="0" borderId="0" applyAlignment="1" pivotButton="0" quotePrefix="0" xfId="0">
      <alignment horizontal="center" vertical="center" wrapText="1"/>
    </xf>
    <xf numFmtId="0" fontId="11" fillId="0" borderId="1" pivotButton="0" quotePrefix="0" xfId="0"/>
    <xf numFmtId="166" fontId="12" fillId="7" borderId="1" pivotButton="0" quotePrefix="0" xfId="0"/>
    <xf numFmtId="0" fontId="12" fillId="5" borderId="0" applyAlignment="1" pivotButton="0" quotePrefix="0" xfId="0">
      <alignment horizontal="center" vertical="center" wrapText="1"/>
    </xf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</cols>
  <sheetData>
    <row r="1" ht="28" customHeight="1">
      <c r="A1" s="1" t="inlineStr">
        <is>
          <t>South Dakota Sales Tax Report — Tea, SD Hotel</t>
        </is>
      </c>
      <c r="B1" s="2" t="n"/>
      <c r="C1" s="2" t="n"/>
      <c r="D1" s="2" t="n"/>
      <c r="E1" s="2" t="n"/>
      <c r="F1" s="2" t="n"/>
    </row>
    <row r="2">
      <c r="A2" s="2" t="inlineStr"/>
      <c r="B2" s="2" t="inlineStr"/>
      <c r="C2" s="2" t="n"/>
      <c r="D2" s="2" t="n"/>
      <c r="E2" s="2" t="n"/>
      <c r="F2" s="2" t="n"/>
    </row>
    <row r="3">
      <c r="A3" s="3" t="inlineStr">
        <is>
          <t>How to use</t>
        </is>
      </c>
      <c r="B3" s="2" t="inlineStr"/>
      <c r="C3" s="2" t="n"/>
      <c r="D3" s="2" t="n"/>
      <c r="E3" s="2" t="n"/>
      <c r="F3" s="2" t="n"/>
    </row>
    <row r="4">
      <c r="A4" s="2" t="inlineStr">
        <is>
          <t>1. Open the 'Setup' sheet and confirm filing month, use-tax amount, and tax rates.</t>
        </is>
      </c>
      <c r="B4" s="2" t="inlineStr"/>
      <c r="C4" s="2" t="n"/>
      <c r="D4" s="2" t="n"/>
      <c r="E4" s="2" t="n"/>
      <c r="F4" s="2" t="n"/>
    </row>
    <row r="5">
      <c r="A5" s="2" t="inlineStr">
        <is>
          <t>2. Export Cloudbeds reservation-level revenue for the CURRENT filing month and paste into 'Raw_CurrentMonth'.</t>
        </is>
      </c>
      <c r="B5" s="2" t="inlineStr"/>
      <c r="C5" s="2" t="n"/>
      <c r="D5" s="2" t="n"/>
      <c r="E5" s="2" t="n"/>
      <c r="F5" s="2" t="n"/>
    </row>
    <row r="6">
      <c r="A6" s="2" t="inlineStr">
        <is>
          <t>3. Export reservation-level revenue for the PRIOR month and paste into 'Raw_PriorMonth' (used only for 28-day lookback).</t>
        </is>
      </c>
      <c r="B6" s="2" t="inlineStr"/>
      <c r="C6" s="2" t="n"/>
      <c r="D6" s="2" t="n"/>
      <c r="E6" s="2" t="n"/>
      <c r="F6" s="2" t="n"/>
    </row>
    <row r="7">
      <c r="A7" s="2" t="inlineStr">
        <is>
          <t>4. For any state-government reservation, set 'StateExempt' to TRUE in the raw data row.</t>
        </is>
      </c>
      <c r="B7" s="2" t="inlineStr"/>
      <c r="C7" s="2" t="n"/>
      <c r="D7" s="2" t="n"/>
      <c r="E7" s="2" t="n"/>
      <c r="F7" s="2" t="n"/>
    </row>
    <row r="8">
      <c r="A8" s="2" t="inlineStr">
        <is>
          <t>5. The 'Tax_Summary' sheet auto-fills. The 'State_Filing' sheet shows the exact dollar amounts to type into the state portal.</t>
        </is>
      </c>
      <c r="B8" s="2" t="inlineStr"/>
      <c r="C8" s="2" t="n"/>
      <c r="D8" s="2" t="n"/>
      <c r="E8" s="2" t="n"/>
      <c r="F8" s="2" t="n"/>
    </row>
    <row r="9">
      <c r="A9" s="2" t="inlineStr"/>
      <c r="B9" s="2" t="inlineStr"/>
      <c r="C9" s="2" t="n"/>
      <c r="D9" s="2" t="n"/>
      <c r="E9" s="2" t="n"/>
      <c r="F9" s="2" t="n"/>
    </row>
    <row r="10">
      <c r="A10" s="3" t="inlineStr">
        <is>
          <t>Color key</t>
        </is>
      </c>
      <c r="B10" s="2" t="inlineStr"/>
      <c r="C10" s="2" t="n"/>
      <c r="D10" s="2" t="n"/>
      <c r="E10" s="2" t="n"/>
      <c r="F10" s="2" t="n"/>
    </row>
    <row r="11">
      <c r="A11" s="2" t="inlineStr">
        <is>
          <t xml:space="preserve">  Yellow cells = inputs you fill in</t>
        </is>
      </c>
      <c r="B11" s="2" t="inlineStr"/>
      <c r="C11" s="2" t="n"/>
      <c r="D11" s="2" t="n"/>
      <c r="E11" s="2" t="n"/>
      <c r="F11" s="2" t="n"/>
    </row>
    <row r="12">
      <c r="A12" s="2" t="inlineStr">
        <is>
          <t xml:space="preserve">  Blue text = user-entered values or rates</t>
        </is>
      </c>
      <c r="B12" s="2" t="inlineStr"/>
      <c r="C12" s="2" t="n"/>
      <c r="D12" s="2" t="n"/>
      <c r="E12" s="2" t="n"/>
      <c r="F12" s="2" t="n"/>
    </row>
    <row r="13">
      <c r="A13" s="2" t="inlineStr">
        <is>
          <t xml:space="preserve">  Black text = formulas (do not overwrite)</t>
        </is>
      </c>
      <c r="B13" s="2" t="inlineStr"/>
      <c r="C13" s="2" t="n"/>
      <c r="D13" s="2" t="n"/>
      <c r="E13" s="2" t="n"/>
      <c r="F13" s="2" t="n"/>
    </row>
    <row r="14">
      <c r="A14" s="2" t="inlineStr">
        <is>
          <t xml:space="preserve">  Green text = pulled from another sheet in this workbook</t>
        </is>
      </c>
      <c r="B14" s="2" t="inlineStr"/>
      <c r="C14" s="2" t="n"/>
      <c r="D14" s="2" t="n"/>
      <c r="E14" s="2" t="n"/>
      <c r="F14" s="2" t="n"/>
    </row>
    <row r="15">
      <c r="A15" s="2" t="inlineStr">
        <is>
          <t xml:space="preserve">  Red text = numbers to enter on the state filing portal</t>
        </is>
      </c>
      <c r="B15" s="2" t="inlineStr"/>
      <c r="C15" s="2" t="n"/>
      <c r="D15" s="2" t="n"/>
      <c r="E15" s="2" t="n"/>
      <c r="F15" s="2" t="n"/>
    </row>
    <row r="16">
      <c r="A16" s="2" t="inlineStr"/>
      <c r="B16" s="2" t="inlineStr"/>
      <c r="C16" s="2" t="n"/>
      <c r="D16" s="2" t="n"/>
      <c r="E16" s="2" t="n"/>
      <c r="F16" s="2" t="n"/>
    </row>
    <row r="17">
      <c r="A17" s="3" t="inlineStr">
        <is>
          <t>Tax rules applied (South Dakota + Tea, SD)</t>
        </is>
      </c>
      <c r="B17" s="2" t="inlineStr"/>
      <c r="C17" s="2" t="n"/>
      <c r="D17" s="2" t="n"/>
      <c r="E17" s="2" t="n"/>
      <c r="F17" s="2" t="n"/>
    </row>
    <row r="18">
      <c r="A18" s="2" t="inlineStr">
        <is>
          <t xml:space="preserve">  State sales/use tax: 4.2%</t>
        </is>
      </c>
      <c r="B18" s="2" t="inlineStr"/>
      <c r="C18" s="2" t="n"/>
      <c r="D18" s="2" t="n"/>
      <c r="E18" s="2" t="n"/>
      <c r="F18" s="2" t="n"/>
    </row>
    <row r="19">
      <c r="A19" s="2" t="inlineStr">
        <is>
          <t xml:space="preserve">  Municipal sales tax (Tea): 2.0%</t>
        </is>
      </c>
      <c r="B19" s="2" t="inlineStr"/>
      <c r="C19" s="2" t="n"/>
      <c r="D19" s="2" t="n"/>
      <c r="E19" s="2" t="n"/>
      <c r="F19" s="2" t="n"/>
    </row>
    <row r="20">
      <c r="A20" s="2" t="inlineStr">
        <is>
          <t xml:space="preserve">  Municipal Gross Receipts Tax (BBB): 1.0% — lodging, prepared food, alcohol, admissions</t>
        </is>
      </c>
      <c r="B20" s="2" t="inlineStr"/>
      <c r="C20" s="2" t="n"/>
      <c r="D20" s="2" t="n"/>
      <c r="E20" s="2" t="n"/>
      <c r="F20" s="2" t="n"/>
    </row>
    <row r="21">
      <c r="A21" s="2" t="inlineStr">
        <is>
          <t xml:space="preserve">  Tourism tax: 1.5% — lodging gross receipts only (rooms, pet fees, room adjustments)</t>
        </is>
      </c>
      <c r="B21" s="2" t="inlineStr"/>
      <c r="C21" s="2" t="n"/>
      <c r="D21" s="2" t="n"/>
      <c r="E21" s="2" t="n"/>
      <c r="F21" s="2" t="n"/>
    </row>
    <row r="22">
      <c r="A22" s="2" t="inlineStr">
        <is>
          <t xml:space="preserve">  28-day rule: If the same reservation (same ReservationID) has 28+ consecutive nights</t>
        </is>
      </c>
      <c r="B22" s="2" t="inlineStr"/>
      <c r="C22" s="2" t="n"/>
      <c r="D22" s="2" t="n"/>
      <c r="E22" s="2" t="n"/>
      <c r="F22" s="2" t="n"/>
    </row>
    <row r="23">
      <c r="A23" s="2" t="inlineStr">
        <is>
          <t xml:space="preserve">      (current + prior month combined), all sales / use / tourism tax on that reservation is exempt.</t>
        </is>
      </c>
      <c r="B23" s="2" t="inlineStr"/>
      <c r="C23" s="2" t="n"/>
      <c r="D23" s="2" t="n"/>
      <c r="E23" s="2" t="n"/>
      <c r="F23" s="2" t="n"/>
    </row>
    <row r="24">
      <c r="A24" s="2" t="inlineStr">
        <is>
          <t xml:space="preserve">      Prior-month revenue is also refundable — the Tax_Summary sheet backs it out.</t>
        </is>
      </c>
      <c r="B24" s="2" t="inlineStr"/>
      <c r="C24" s="2" t="n"/>
      <c r="D24" s="2" t="n"/>
      <c r="E24" s="2" t="n"/>
      <c r="F24" s="2" t="n"/>
    </row>
    <row r="25">
      <c r="A25" s="2" t="inlineStr">
        <is>
          <t xml:space="preserve">  State-government exemption: set StateExempt = TRUE. Excludes the reservation from all tax bases.</t>
        </is>
      </c>
      <c r="B25" s="2" t="inlineStr"/>
      <c r="C25" s="2" t="n"/>
      <c r="D25" s="2" t="n"/>
      <c r="E25" s="2" t="n"/>
      <c r="F25" s="2" t="n"/>
    </row>
    <row r="26">
      <c r="A26" s="2" t="inlineStr"/>
      <c r="B26" s="2" t="inlineStr"/>
      <c r="C26" s="2" t="n"/>
      <c r="D26" s="2" t="n"/>
      <c r="E26" s="2" t="n"/>
      <c r="F26" s="2" t="n"/>
    </row>
    <row r="27">
      <c r="A27" s="3" t="inlineStr">
        <is>
          <t>About auto-filing on the state portal</t>
        </is>
      </c>
      <c r="B27" s="2" t="inlineStr"/>
      <c r="C27" s="2" t="n"/>
      <c r="D27" s="2" t="n"/>
      <c r="E27" s="2" t="n"/>
      <c r="F27" s="2" t="n"/>
    </row>
    <row r="28">
      <c r="A28" s="2" t="inlineStr">
        <is>
          <t xml:space="preserve">  Not recommended. The state portal is an authenticated government system and tax filing has legal liability.</t>
        </is>
      </c>
      <c r="B28" s="2" t="inlineStr"/>
      <c r="C28" s="2" t="n"/>
      <c r="D28" s="2" t="n"/>
      <c r="E28" s="2" t="n"/>
      <c r="F28" s="2" t="n"/>
    </row>
    <row r="29">
      <c r="A29" s="2" t="inlineStr">
        <is>
          <t xml:space="preserve">  This workbook formats numbers for entry and gives you a one-page check sheet to compare against anything staff enters.</t>
        </is>
      </c>
      <c r="B29" s="2" t="inlineStr"/>
      <c r="C29" s="2" t="n"/>
      <c r="D29" s="2" t="n"/>
      <c r="E29" s="2" t="n"/>
      <c r="F29" s="2" t="n"/>
    </row>
    <row r="30">
      <c r="A30" s="2" t="inlineStr"/>
      <c r="B30" s="2" t="inlineStr"/>
      <c r="C30" s="2" t="n"/>
      <c r="D30" s="2" t="n"/>
      <c r="E30" s="2" t="n"/>
      <c r="F30" s="2" t="n"/>
    </row>
    <row r="31">
      <c r="A31" s="3" t="inlineStr">
        <is>
          <t>Expected raw-data columns (paste from Cloudbeds)</t>
        </is>
      </c>
      <c r="B31" s="2" t="inlineStr"/>
      <c r="C31" s="2" t="n"/>
      <c r="D31" s="2" t="n"/>
      <c r="E31" s="2" t="n"/>
      <c r="F31" s="2" t="n"/>
    </row>
    <row r="32">
      <c r="A32" s="2" t="inlineStr">
        <is>
          <t xml:space="preserve">  A: ReservationID (text, must match across months for 28-day lookback)</t>
        </is>
      </c>
      <c r="B32" s="2" t="inlineStr"/>
      <c r="C32" s="2" t="n"/>
      <c r="D32" s="2" t="n"/>
      <c r="E32" s="2" t="n"/>
      <c r="F32" s="2" t="n"/>
    </row>
    <row r="33">
      <c r="A33" s="2" t="inlineStr">
        <is>
          <t xml:space="preserve">  B: GuestName</t>
        </is>
      </c>
      <c r="B33" s="2" t="inlineStr"/>
      <c r="C33" s="2" t="n"/>
      <c r="D33" s="2" t="n"/>
      <c r="E33" s="2" t="n"/>
      <c r="F33" s="2" t="n"/>
    </row>
    <row r="34">
      <c r="A34" s="2" t="inlineStr">
        <is>
          <t xml:space="preserve">  C: CheckIn (date)</t>
        </is>
      </c>
      <c r="B34" s="2" t="inlineStr"/>
      <c r="C34" s="2" t="n"/>
      <c r="D34" s="2" t="n"/>
      <c r="E34" s="2" t="n"/>
      <c r="F34" s="2" t="n"/>
    </row>
    <row r="35">
      <c r="A35" s="2" t="inlineStr">
        <is>
          <t xml:space="preserve">  D: CheckOut (date)</t>
        </is>
      </c>
      <c r="B35" s="2" t="inlineStr"/>
      <c r="C35" s="2" t="n"/>
      <c r="D35" s="2" t="n"/>
      <c r="E35" s="2" t="n"/>
      <c r="F35" s="2" t="n"/>
    </row>
    <row r="36">
      <c r="A36" s="2" t="inlineStr">
        <is>
          <t xml:space="preserve">  E: NightsThisMonth (number — nights that fell in this month only)</t>
        </is>
      </c>
      <c r="B36" s="2" t="inlineStr"/>
      <c r="C36" s="2" t="n"/>
      <c r="D36" s="2" t="n"/>
      <c r="E36" s="2" t="n"/>
      <c r="F36" s="2" t="n"/>
    </row>
    <row r="37">
      <c r="A37" s="2" t="inlineStr">
        <is>
          <t xml:space="preserve">  F: ReservationSource (text — e.g. Direct, Booking.com, Gov-SD)</t>
        </is>
      </c>
      <c r="B37" s="2" t="inlineStr"/>
      <c r="C37" s="2" t="n"/>
      <c r="D37" s="2" t="n"/>
      <c r="E37" s="2" t="n"/>
      <c r="F37" s="2" t="n"/>
    </row>
    <row r="38">
      <c r="A38" s="2" t="inlineStr">
        <is>
          <t xml:space="preserve">  G: StateExempt (TRUE / FALSE)</t>
        </is>
      </c>
      <c r="B38" s="2" t="inlineStr"/>
      <c r="C38" s="2" t="n"/>
      <c r="D38" s="2" t="n"/>
      <c r="E38" s="2" t="n"/>
      <c r="F38" s="2" t="n"/>
    </row>
    <row r="39">
      <c r="A39" s="2" t="inlineStr">
        <is>
          <t xml:space="preserve">  H: RoomRevenue ($)</t>
        </is>
      </c>
      <c r="B39" s="2" t="inlineStr"/>
      <c r="C39" s="2" t="n"/>
      <c r="D39" s="2" t="n"/>
      <c r="E39" s="2" t="n"/>
      <c r="F39" s="2" t="n"/>
    </row>
    <row r="40">
      <c r="A40" s="2" t="inlineStr">
        <is>
          <t xml:space="preserve">  I: PetFees ($)</t>
        </is>
      </c>
      <c r="B40" s="2" t="inlineStr"/>
      <c r="C40" s="2" t="n"/>
      <c r="D40" s="2" t="n"/>
      <c r="E40" s="2" t="n"/>
      <c r="F40" s="2" t="n"/>
    </row>
    <row r="41">
      <c r="A41" s="2" t="inlineStr">
        <is>
          <t xml:space="preserve">  J: OtherItemsAndServices ($)</t>
        </is>
      </c>
      <c r="B41" s="2" t="inlineStr"/>
      <c r="C41" s="2" t="n"/>
      <c r="D41" s="2" t="n"/>
      <c r="E41" s="2" t="n"/>
      <c r="F41" s="2" t="n"/>
    </row>
    <row r="42">
      <c r="A42" s="2" t="inlineStr">
        <is>
          <t xml:space="preserve">  K: Bartab ($)</t>
        </is>
      </c>
      <c r="B42" s="2" t="inlineStr"/>
      <c r="C42" s="2" t="n"/>
      <c r="D42" s="2" t="n"/>
      <c r="E42" s="2" t="n"/>
      <c r="F42" s="2" t="n"/>
    </row>
    <row r="43">
      <c r="A43" s="2" t="inlineStr">
        <is>
          <t xml:space="preserve">  L: RoomRateAdjustments ($)</t>
        </is>
      </c>
      <c r="B43" s="2" t="inlineStr"/>
      <c r="C43" s="2" t="n"/>
      <c r="D43" s="2" t="n"/>
      <c r="E43" s="2" t="n"/>
      <c r="F43" s="2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70" customWidth="1" min="3" max="3"/>
  </cols>
  <sheetData>
    <row r="1" ht="24" customHeight="1">
      <c r="A1" s="1" t="inlineStr">
        <is>
          <t>Setup &amp; Rates</t>
        </is>
      </c>
      <c r="B1" s="2" t="n"/>
      <c r="C1" s="2" t="n"/>
    </row>
    <row r="2">
      <c r="A2" s="2" t="n"/>
      <c r="B2" s="2" t="n"/>
      <c r="C2" s="2" t="n"/>
    </row>
    <row r="3">
      <c r="A3" s="4" t="inlineStr">
        <is>
          <t>Filing Period</t>
        </is>
      </c>
      <c r="B3" s="2" t="n"/>
      <c r="C3" s="2" t="n"/>
    </row>
    <row r="4">
      <c r="A4" s="2" t="inlineStr">
        <is>
          <t>Filing Month (text, e.g. March 2026)</t>
        </is>
      </c>
      <c r="B4" s="5" t="inlineStr">
        <is>
          <t>March 2026</t>
        </is>
      </c>
      <c r="C4" s="2" t="n"/>
    </row>
    <row r="5">
      <c r="A5" s="2" t="inlineStr">
        <is>
          <t>Year (number)</t>
        </is>
      </c>
      <c r="B5" s="5" t="n">
        <v>2026</v>
      </c>
      <c r="C5" s="2" t="n"/>
    </row>
    <row r="6">
      <c r="A6" s="2" t="inlineStr">
        <is>
          <t>Use Tax Base ($) — items bought tax-free and used</t>
        </is>
      </c>
      <c r="B6" s="5" t="n">
        <v>0</v>
      </c>
      <c r="C6" s="2" t="n"/>
    </row>
    <row r="7">
      <c r="A7" s="2" t="n"/>
      <c r="B7" s="2" t="n"/>
      <c r="C7" s="2" t="n"/>
    </row>
    <row r="8">
      <c r="A8" s="4" t="inlineStr">
        <is>
          <t>Tax Rates (SD + Tea)</t>
        </is>
      </c>
      <c r="B8" s="2" t="n"/>
      <c r="C8" s="2" t="n"/>
    </row>
    <row r="9">
      <c r="A9" s="2" t="inlineStr">
        <is>
          <t>State sales/use tax</t>
        </is>
      </c>
      <c r="B9" s="6" t="n">
        <v>0.042</v>
      </c>
      <c r="C9" s="7" t="inlineStr">
        <is>
          <t>SD DOR — tax fact sheet 'Hotels, Motels and Campgrounds'</t>
        </is>
      </c>
    </row>
    <row r="10">
      <c r="A10" s="2" t="inlineStr">
        <is>
          <t>Municipal sales tax (Tea)</t>
        </is>
      </c>
      <c r="B10" s="6" t="n">
        <v>0.02</v>
      </c>
      <c r="C10" s="7" t="inlineStr">
        <is>
          <t>City of Tea — 2% municipal sales tax</t>
        </is>
      </c>
    </row>
    <row r="11">
      <c r="A11" s="2" t="inlineStr">
        <is>
          <t>Municipal Gross Receipts Tax (BBB)</t>
        </is>
      </c>
      <c r="B11" s="6" t="n">
        <v>0.01</v>
      </c>
      <c r="C11" s="7" t="inlineStr">
        <is>
          <t>SD DOR — 1% on lodging, prepared food, alcohol, admissions</t>
        </is>
      </c>
    </row>
    <row r="12">
      <c r="A12" s="2" t="inlineStr">
        <is>
          <t>Tourism tax (lodging only)</t>
        </is>
      </c>
      <c r="B12" s="6" t="n">
        <v>0.015</v>
      </c>
      <c r="C12" s="7" t="inlineStr">
        <is>
          <t>SD DOR — Tourism Tax Fact Sheet, 1.5% on lodging gross receipts</t>
        </is>
      </c>
    </row>
    <row r="13">
      <c r="A13" s="2" t="n"/>
      <c r="B13" s="2" t="n"/>
      <c r="C13" s="2" t="n"/>
    </row>
    <row r="14">
      <c r="A14" s="3" t="inlineStr">
        <is>
          <t>Cell references used in formulas:</t>
        </is>
      </c>
      <c r="B14" s="2" t="n"/>
      <c r="C14" s="2" t="n"/>
    </row>
    <row r="15">
      <c r="A15" s="8" t="inlineStr">
        <is>
          <t>B4</t>
        </is>
      </c>
      <c r="B15" s="8" t="inlineStr">
        <is>
          <t>Filing Month</t>
        </is>
      </c>
      <c r="C15" s="2" t="n"/>
    </row>
    <row r="16">
      <c r="A16" s="8" t="inlineStr">
        <is>
          <t>B6</t>
        </is>
      </c>
      <c r="B16" s="8" t="inlineStr">
        <is>
          <t>Use Tax Base</t>
        </is>
      </c>
      <c r="C16" s="2" t="n"/>
    </row>
    <row r="17">
      <c r="A17" s="8" t="inlineStr">
        <is>
          <t>B9</t>
        </is>
      </c>
      <c r="B17" s="8" t="inlineStr">
        <is>
          <t>State sales/use rate (4.2%)</t>
        </is>
      </c>
      <c r="C17" s="2" t="n"/>
    </row>
    <row r="18">
      <c r="A18" s="8" t="inlineStr">
        <is>
          <t>B10</t>
        </is>
      </c>
      <c r="B18" s="8" t="inlineStr">
        <is>
          <t>Municipal sales rate (2.0%)</t>
        </is>
      </c>
      <c r="C18" s="2" t="n"/>
    </row>
    <row r="19">
      <c r="A19" s="8" t="inlineStr">
        <is>
          <t>B11</t>
        </is>
      </c>
      <c r="B19" s="8" t="inlineStr">
        <is>
          <t>Municipal gross receipts rate (1.0%)</t>
        </is>
      </c>
      <c r="C19" s="2" t="n"/>
    </row>
    <row r="20">
      <c r="A20" s="8" t="inlineStr">
        <is>
          <t>B12</t>
        </is>
      </c>
      <c r="B20" s="8" t="inlineStr">
        <is>
          <t>Tourism rate (1.5%)</t>
        </is>
      </c>
      <c r="C20" s="2" t="n"/>
    </row>
  </sheetData>
  <mergeCells count="3">
    <mergeCell ref="A1:C1"/>
    <mergeCell ref="A8:C8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  <col width="10" customWidth="1" min="5" max="5"/>
    <col width="18" customWidth="1" min="6" max="6"/>
    <col width="12" customWidth="1" min="7" max="7"/>
    <col width="13" customWidth="1" min="8" max="8"/>
    <col width="12" customWidth="1" min="9" max="9"/>
    <col width="16" customWidth="1" min="10" max="10"/>
    <col width="12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16" customWidth="1" min="19" max="19"/>
    <col width="14" customWidth="1" min="20" max="20"/>
    <col width="16" customWidth="1" min="21" max="21"/>
    <col width="14" customWidth="1" min="22" max="22"/>
    <col width="14" customWidth="1" min="23" max="23"/>
    <col width="18" customWidth="1" min="24" max="24"/>
    <col width="18" customWidth="1" min="25" max="25"/>
    <col width="18" customWidth="1" min="26" max="26"/>
  </cols>
  <sheetData>
    <row r="1">
      <c r="A1" s="9" t="inlineStr">
        <is>
          <t>ReservationID</t>
        </is>
      </c>
      <c r="B1" s="9" t="inlineStr">
        <is>
          <t>GuestName</t>
        </is>
      </c>
      <c r="C1" s="9" t="inlineStr">
        <is>
          <t>CheckIn</t>
        </is>
      </c>
      <c r="D1" s="9" t="inlineStr">
        <is>
          <t>CheckOut</t>
        </is>
      </c>
      <c r="E1" s="9" t="inlineStr">
        <is>
          <t>NightsThisMonth</t>
        </is>
      </c>
      <c r="F1" s="9" t="inlineStr">
        <is>
          <t>ReservationSource</t>
        </is>
      </c>
      <c r="G1" s="9" t="inlineStr">
        <is>
          <t>StateExempt</t>
        </is>
      </c>
      <c r="H1" s="9" t="inlineStr">
        <is>
          <t>RoomRevenue</t>
        </is>
      </c>
      <c r="I1" s="9" t="inlineStr">
        <is>
          <t>PetFees</t>
        </is>
      </c>
      <c r="J1" s="9" t="inlineStr">
        <is>
          <t>OtherItemsAndServices</t>
        </is>
      </c>
      <c r="K1" s="9" t="inlineStr">
        <is>
          <t>Bartab</t>
        </is>
      </c>
      <c r="L1" s="9" t="inlineStr">
        <is>
          <t>RoomRateAdjustments</t>
        </is>
      </c>
      <c r="M1" s="9" t="inlineStr">
        <is>
          <t>PriorMonthNights</t>
        </is>
      </c>
      <c r="N1" s="9" t="inlineStr">
        <is>
          <t>TotalNights</t>
        </is>
      </c>
      <c r="O1" s="9" t="inlineStr">
        <is>
          <t>Is28DayExempt</t>
        </is>
      </c>
      <c r="P1" s="9" t="inlineStr">
        <is>
          <t>IsAnyExempt</t>
        </is>
      </c>
      <c r="Q1" s="9" t="inlineStr">
        <is>
          <t>TotalRowRevenue</t>
        </is>
      </c>
      <c r="R1" s="9" t="inlineStr">
        <is>
          <t>TaxableRowRevenue</t>
        </is>
      </c>
      <c r="S1" s="9" t="inlineStr">
        <is>
          <t>TaxableRoomRevenue</t>
        </is>
      </c>
      <c r="T1" s="9" t="inlineStr">
        <is>
          <t>TaxablePetFees</t>
        </is>
      </c>
      <c r="U1" s="9" t="inlineStr">
        <is>
          <t>TaxableOtherItems</t>
        </is>
      </c>
      <c r="V1" s="9" t="inlineStr">
        <is>
          <t>TaxableBartab</t>
        </is>
      </c>
      <c r="W1" s="9" t="inlineStr">
        <is>
          <t>TaxableRoomAdj</t>
        </is>
      </c>
      <c r="X1" s="9" t="inlineStr">
        <is>
          <t>LodgingTourismBase</t>
        </is>
      </c>
      <c r="Y1" s="9" t="inlineStr">
        <is>
          <t>StateAgencyExemptRevenue</t>
        </is>
      </c>
      <c r="Z1" s="9" t="inlineStr">
        <is>
          <t>TwentyEightDayExemptRev</t>
        </is>
      </c>
    </row>
    <row r="2">
      <c r="A2" s="10" t="n"/>
      <c r="B2" s="10" t="n"/>
      <c r="C2" s="11" t="n"/>
      <c r="D2" s="11" t="n"/>
      <c r="E2" s="10" t="n"/>
      <c r="F2" s="10" t="n"/>
      <c r="G2" s="12" t="n"/>
      <c r="H2" s="13" t="n"/>
      <c r="I2" s="13" t="n"/>
      <c r="J2" s="13" t="n"/>
      <c r="K2" s="13" t="n"/>
      <c r="L2" s="13" t="n"/>
      <c r="M2" s="14">
        <f>IFERROR(IF(A2="","",IFERROR(VLOOKUP(A2,Raw_PriorMonth!A:E,5,FALSE),0)),0)</f>
        <v/>
      </c>
      <c r="N2" s="14">
        <f>IF(A2="","",IFERROR(E2,0)+IFERROR(M2,0))</f>
        <v/>
      </c>
      <c r="O2" s="15">
        <f>IF(A2="","",IF(N2&gt;=28,TRUE,FALSE))</f>
        <v/>
      </c>
      <c r="P2" s="15">
        <f>IF(A2="","",OR(G2=TRUE,O2=TRUE))</f>
        <v/>
      </c>
      <c r="Q2" s="16">
        <f>IF(A2="","",IFERROR(H2,0)+IFERROR(I2,0)+IFERROR(J2,0)+IFERROR(K2,0)+IFERROR(L2,0))</f>
        <v/>
      </c>
      <c r="R2" s="16">
        <f>IF(A2="","",IF(P2=TRUE,0,Q2))</f>
        <v/>
      </c>
      <c r="S2" s="16">
        <f>IF(A2="","",IF(P2=TRUE,0,IFERROR(H2,0)))</f>
        <v/>
      </c>
      <c r="T2" s="16">
        <f>IF(A2="","",IF(P2=TRUE,0,IFERROR(I2,0)))</f>
        <v/>
      </c>
      <c r="U2" s="16">
        <f>IF(A2="","",IF(P2=TRUE,0,IFERROR(J2,0)))</f>
        <v/>
      </c>
      <c r="V2" s="16">
        <f>IF(A2="","",IF(P2=TRUE,0,IFERROR(K2,0)))</f>
        <v/>
      </c>
      <c r="W2" s="16">
        <f>IF(A2="","",IF(P2=TRUE,0,IFERROR(L2,0)))</f>
        <v/>
      </c>
      <c r="X2" s="16">
        <f>IF(A2="","",IF(P2=TRUE,0,IFERROR(H2,0)+IFERROR(I2,0)+IFERROR(L2,0)))</f>
        <v/>
      </c>
      <c r="Y2" s="16">
        <f>IF(A2="",0,IF(G2=TRUE,IFERROR(H2,0)+IFERROR(I2,0)+IFERROR(J2,0)+IFERROR(K2,0)+IFERROR(L2,0),0))</f>
        <v/>
      </c>
      <c r="Z2" s="16">
        <f>IF(A2="",0,IF(AND(O2=TRUE,G2&lt;&gt;TRUE),IFERROR(H2,0)+IFERROR(I2,0)+IFERROR(J2,0)+IFERROR(K2,0)+IFERROR(L2,0),0))</f>
        <v/>
      </c>
    </row>
    <row r="3">
      <c r="A3" s="10" t="n"/>
      <c r="B3" s="10" t="n"/>
      <c r="C3" s="11" t="n"/>
      <c r="D3" s="11" t="n"/>
      <c r="E3" s="10" t="n"/>
      <c r="F3" s="10" t="n"/>
      <c r="G3" s="12" t="n"/>
      <c r="H3" s="13" t="n"/>
      <c r="I3" s="13" t="n"/>
      <c r="J3" s="13" t="n"/>
      <c r="K3" s="13" t="n"/>
      <c r="L3" s="13" t="n"/>
      <c r="M3" s="14">
        <f>IFERROR(IF(A3="","",IFERROR(VLOOKUP(A3,Raw_PriorMonth!A:E,5,FALSE),0)),0)</f>
        <v/>
      </c>
      <c r="N3" s="14">
        <f>IF(A3="","",IFERROR(E3,0)+IFERROR(M3,0))</f>
        <v/>
      </c>
      <c r="O3" s="15">
        <f>IF(A3="","",IF(N3&gt;=28,TRUE,FALSE))</f>
        <v/>
      </c>
      <c r="P3" s="15">
        <f>IF(A3="","",OR(G3=TRUE,O3=TRUE))</f>
        <v/>
      </c>
      <c r="Q3" s="16">
        <f>IF(A3="","",IFERROR(H3,0)+IFERROR(I3,0)+IFERROR(J3,0)+IFERROR(K3,0)+IFERROR(L3,0))</f>
        <v/>
      </c>
      <c r="R3" s="16">
        <f>IF(A3="","",IF(P3=TRUE,0,Q3))</f>
        <v/>
      </c>
      <c r="S3" s="16">
        <f>IF(A3="","",IF(P3=TRUE,0,IFERROR(H3,0)))</f>
        <v/>
      </c>
      <c r="T3" s="16">
        <f>IF(A3="","",IF(P3=TRUE,0,IFERROR(I3,0)))</f>
        <v/>
      </c>
      <c r="U3" s="16">
        <f>IF(A3="","",IF(P3=TRUE,0,IFERROR(J3,0)))</f>
        <v/>
      </c>
      <c r="V3" s="16">
        <f>IF(A3="","",IF(P3=TRUE,0,IFERROR(K3,0)))</f>
        <v/>
      </c>
      <c r="W3" s="16">
        <f>IF(A3="","",IF(P3=TRUE,0,IFERROR(L3,0)))</f>
        <v/>
      </c>
      <c r="X3" s="16">
        <f>IF(A3="","",IF(P3=TRUE,0,IFERROR(H3,0)+IFERROR(I3,0)+IFERROR(L3,0)))</f>
        <v/>
      </c>
      <c r="Y3" s="16">
        <f>IF(A3="",0,IF(G3=TRUE,IFERROR(H3,0)+IFERROR(I3,0)+IFERROR(J3,0)+IFERROR(K3,0)+IFERROR(L3,0),0))</f>
        <v/>
      </c>
      <c r="Z3" s="16">
        <f>IF(A3="",0,IF(AND(O3=TRUE,G3&lt;&gt;TRUE),IFERROR(H3,0)+IFERROR(I3,0)+IFERROR(J3,0)+IFERROR(K3,0)+IFERROR(L3,0),0))</f>
        <v/>
      </c>
    </row>
    <row r="4">
      <c r="A4" s="10" t="n"/>
      <c r="B4" s="10" t="n"/>
      <c r="C4" s="11" t="n"/>
      <c r="D4" s="11" t="n"/>
      <c r="E4" s="10" t="n"/>
      <c r="F4" s="10" t="n"/>
      <c r="G4" s="12" t="n"/>
      <c r="H4" s="13" t="n"/>
      <c r="I4" s="13" t="n"/>
      <c r="J4" s="13" t="n"/>
      <c r="K4" s="13" t="n"/>
      <c r="L4" s="13" t="n"/>
      <c r="M4" s="14">
        <f>IFERROR(IF(A4="","",IFERROR(VLOOKUP(A4,Raw_PriorMonth!A:E,5,FALSE),0)),0)</f>
        <v/>
      </c>
      <c r="N4" s="14">
        <f>IF(A4="","",IFERROR(E4,0)+IFERROR(M4,0))</f>
        <v/>
      </c>
      <c r="O4" s="15">
        <f>IF(A4="","",IF(N4&gt;=28,TRUE,FALSE))</f>
        <v/>
      </c>
      <c r="P4" s="15">
        <f>IF(A4="","",OR(G4=TRUE,O4=TRUE))</f>
        <v/>
      </c>
      <c r="Q4" s="16">
        <f>IF(A4="","",IFERROR(H4,0)+IFERROR(I4,0)+IFERROR(J4,0)+IFERROR(K4,0)+IFERROR(L4,0))</f>
        <v/>
      </c>
      <c r="R4" s="16">
        <f>IF(A4="","",IF(P4=TRUE,0,Q4))</f>
        <v/>
      </c>
      <c r="S4" s="16">
        <f>IF(A4="","",IF(P4=TRUE,0,IFERROR(H4,0)))</f>
        <v/>
      </c>
      <c r="T4" s="16">
        <f>IF(A4="","",IF(P4=TRUE,0,IFERROR(I4,0)))</f>
        <v/>
      </c>
      <c r="U4" s="16">
        <f>IF(A4="","",IF(P4=TRUE,0,IFERROR(J4,0)))</f>
        <v/>
      </c>
      <c r="V4" s="16">
        <f>IF(A4="","",IF(P4=TRUE,0,IFERROR(K4,0)))</f>
        <v/>
      </c>
      <c r="W4" s="16">
        <f>IF(A4="","",IF(P4=TRUE,0,IFERROR(L4,0)))</f>
        <v/>
      </c>
      <c r="X4" s="16">
        <f>IF(A4="","",IF(P4=TRUE,0,IFERROR(H4,0)+IFERROR(I4,0)+IFERROR(L4,0)))</f>
        <v/>
      </c>
      <c r="Y4" s="16">
        <f>IF(A4="",0,IF(G4=TRUE,IFERROR(H4,0)+IFERROR(I4,0)+IFERROR(J4,0)+IFERROR(K4,0)+IFERROR(L4,0),0))</f>
        <v/>
      </c>
      <c r="Z4" s="16">
        <f>IF(A4="",0,IF(AND(O4=TRUE,G4&lt;&gt;TRUE),IFERROR(H4,0)+IFERROR(I4,0)+IFERROR(J4,0)+IFERROR(K4,0)+IFERROR(L4,0),0))</f>
        <v/>
      </c>
    </row>
    <row r="5">
      <c r="A5" s="10" t="n"/>
      <c r="B5" s="10" t="n"/>
      <c r="C5" s="11" t="n"/>
      <c r="D5" s="11" t="n"/>
      <c r="E5" s="10" t="n"/>
      <c r="F5" s="10" t="n"/>
      <c r="G5" s="12" t="n"/>
      <c r="H5" s="13" t="n"/>
      <c r="I5" s="13" t="n"/>
      <c r="J5" s="13" t="n"/>
      <c r="K5" s="13" t="n"/>
      <c r="L5" s="13" t="n"/>
      <c r="M5" s="14">
        <f>IFERROR(IF(A5="","",IFERROR(VLOOKUP(A5,Raw_PriorMonth!A:E,5,FALSE),0)),0)</f>
        <v/>
      </c>
      <c r="N5" s="14">
        <f>IF(A5="","",IFERROR(E5,0)+IFERROR(M5,0))</f>
        <v/>
      </c>
      <c r="O5" s="15">
        <f>IF(A5="","",IF(N5&gt;=28,TRUE,FALSE))</f>
        <v/>
      </c>
      <c r="P5" s="15">
        <f>IF(A5="","",OR(G5=TRUE,O5=TRUE))</f>
        <v/>
      </c>
      <c r="Q5" s="16">
        <f>IF(A5="","",IFERROR(H5,0)+IFERROR(I5,0)+IFERROR(J5,0)+IFERROR(K5,0)+IFERROR(L5,0))</f>
        <v/>
      </c>
      <c r="R5" s="16">
        <f>IF(A5="","",IF(P5=TRUE,0,Q5))</f>
        <v/>
      </c>
      <c r="S5" s="16">
        <f>IF(A5="","",IF(P5=TRUE,0,IFERROR(H5,0)))</f>
        <v/>
      </c>
      <c r="T5" s="16">
        <f>IF(A5="","",IF(P5=TRUE,0,IFERROR(I5,0)))</f>
        <v/>
      </c>
      <c r="U5" s="16">
        <f>IF(A5="","",IF(P5=TRUE,0,IFERROR(J5,0)))</f>
        <v/>
      </c>
      <c r="V5" s="16">
        <f>IF(A5="","",IF(P5=TRUE,0,IFERROR(K5,0)))</f>
        <v/>
      </c>
      <c r="W5" s="16">
        <f>IF(A5="","",IF(P5=TRUE,0,IFERROR(L5,0)))</f>
        <v/>
      </c>
      <c r="X5" s="16">
        <f>IF(A5="","",IF(P5=TRUE,0,IFERROR(H5,0)+IFERROR(I5,0)+IFERROR(L5,0)))</f>
        <v/>
      </c>
      <c r="Y5" s="16">
        <f>IF(A5="",0,IF(G5=TRUE,IFERROR(H5,0)+IFERROR(I5,0)+IFERROR(J5,0)+IFERROR(K5,0)+IFERROR(L5,0),0))</f>
        <v/>
      </c>
      <c r="Z5" s="16">
        <f>IF(A5="",0,IF(AND(O5=TRUE,G5&lt;&gt;TRUE),IFERROR(H5,0)+IFERROR(I5,0)+IFERROR(J5,0)+IFERROR(K5,0)+IFERROR(L5,0),0))</f>
        <v/>
      </c>
    </row>
    <row r="6">
      <c r="A6" s="10" t="n"/>
      <c r="B6" s="10" t="n"/>
      <c r="C6" s="11" t="n"/>
      <c r="D6" s="11" t="n"/>
      <c r="E6" s="10" t="n"/>
      <c r="F6" s="10" t="n"/>
      <c r="G6" s="12" t="n"/>
      <c r="H6" s="13" t="n"/>
      <c r="I6" s="13" t="n"/>
      <c r="J6" s="13" t="n"/>
      <c r="K6" s="13" t="n"/>
      <c r="L6" s="13" t="n"/>
      <c r="M6" s="14">
        <f>IFERROR(IF(A6="","",IFERROR(VLOOKUP(A6,Raw_PriorMonth!A:E,5,FALSE),0)),0)</f>
        <v/>
      </c>
      <c r="N6" s="14">
        <f>IF(A6="","",IFERROR(E6,0)+IFERROR(M6,0))</f>
        <v/>
      </c>
      <c r="O6" s="15">
        <f>IF(A6="","",IF(N6&gt;=28,TRUE,FALSE))</f>
        <v/>
      </c>
      <c r="P6" s="15">
        <f>IF(A6="","",OR(G6=TRUE,O6=TRUE))</f>
        <v/>
      </c>
      <c r="Q6" s="16">
        <f>IF(A6="","",IFERROR(H6,0)+IFERROR(I6,0)+IFERROR(J6,0)+IFERROR(K6,0)+IFERROR(L6,0))</f>
        <v/>
      </c>
      <c r="R6" s="16">
        <f>IF(A6="","",IF(P6=TRUE,0,Q6))</f>
        <v/>
      </c>
      <c r="S6" s="16">
        <f>IF(A6="","",IF(P6=TRUE,0,IFERROR(H6,0)))</f>
        <v/>
      </c>
      <c r="T6" s="16">
        <f>IF(A6="","",IF(P6=TRUE,0,IFERROR(I6,0)))</f>
        <v/>
      </c>
      <c r="U6" s="16">
        <f>IF(A6="","",IF(P6=TRUE,0,IFERROR(J6,0)))</f>
        <v/>
      </c>
      <c r="V6" s="16">
        <f>IF(A6="","",IF(P6=TRUE,0,IFERROR(K6,0)))</f>
        <v/>
      </c>
      <c r="W6" s="16">
        <f>IF(A6="","",IF(P6=TRUE,0,IFERROR(L6,0)))</f>
        <v/>
      </c>
      <c r="X6" s="16">
        <f>IF(A6="","",IF(P6=TRUE,0,IFERROR(H6,0)+IFERROR(I6,0)+IFERROR(L6,0)))</f>
        <v/>
      </c>
      <c r="Y6" s="16">
        <f>IF(A6="",0,IF(G6=TRUE,IFERROR(H6,0)+IFERROR(I6,0)+IFERROR(J6,0)+IFERROR(K6,0)+IFERROR(L6,0),0))</f>
        <v/>
      </c>
      <c r="Z6" s="16">
        <f>IF(A6="",0,IF(AND(O6=TRUE,G6&lt;&gt;TRUE),IFERROR(H6,0)+IFERROR(I6,0)+IFERROR(J6,0)+IFERROR(K6,0)+IFERROR(L6,0),0))</f>
        <v/>
      </c>
    </row>
    <row r="7">
      <c r="A7" s="10" t="n"/>
      <c r="B7" s="10" t="n"/>
      <c r="C7" s="11" t="n"/>
      <c r="D7" s="11" t="n"/>
      <c r="E7" s="10" t="n"/>
      <c r="F7" s="10" t="n"/>
      <c r="G7" s="12" t="n"/>
      <c r="H7" s="13" t="n"/>
      <c r="I7" s="13" t="n"/>
      <c r="J7" s="13" t="n"/>
      <c r="K7" s="13" t="n"/>
      <c r="L7" s="13" t="n"/>
      <c r="M7" s="14">
        <f>IFERROR(IF(A7="","",IFERROR(VLOOKUP(A7,Raw_PriorMonth!A:E,5,FALSE),0)),0)</f>
        <v/>
      </c>
      <c r="N7" s="14">
        <f>IF(A7="","",IFERROR(E7,0)+IFERROR(M7,0))</f>
        <v/>
      </c>
      <c r="O7" s="15">
        <f>IF(A7="","",IF(N7&gt;=28,TRUE,FALSE))</f>
        <v/>
      </c>
      <c r="P7" s="15">
        <f>IF(A7="","",OR(G7=TRUE,O7=TRUE))</f>
        <v/>
      </c>
      <c r="Q7" s="16">
        <f>IF(A7="","",IFERROR(H7,0)+IFERROR(I7,0)+IFERROR(J7,0)+IFERROR(K7,0)+IFERROR(L7,0))</f>
        <v/>
      </c>
      <c r="R7" s="16">
        <f>IF(A7="","",IF(P7=TRUE,0,Q7))</f>
        <v/>
      </c>
      <c r="S7" s="16">
        <f>IF(A7="","",IF(P7=TRUE,0,IFERROR(H7,0)))</f>
        <v/>
      </c>
      <c r="T7" s="16">
        <f>IF(A7="","",IF(P7=TRUE,0,IFERROR(I7,0)))</f>
        <v/>
      </c>
      <c r="U7" s="16">
        <f>IF(A7="","",IF(P7=TRUE,0,IFERROR(J7,0)))</f>
        <v/>
      </c>
      <c r="V7" s="16">
        <f>IF(A7="","",IF(P7=TRUE,0,IFERROR(K7,0)))</f>
        <v/>
      </c>
      <c r="W7" s="16">
        <f>IF(A7="","",IF(P7=TRUE,0,IFERROR(L7,0)))</f>
        <v/>
      </c>
      <c r="X7" s="16">
        <f>IF(A7="","",IF(P7=TRUE,0,IFERROR(H7,0)+IFERROR(I7,0)+IFERROR(L7,0)))</f>
        <v/>
      </c>
      <c r="Y7" s="16">
        <f>IF(A7="",0,IF(G7=TRUE,IFERROR(H7,0)+IFERROR(I7,0)+IFERROR(J7,0)+IFERROR(K7,0)+IFERROR(L7,0),0))</f>
        <v/>
      </c>
      <c r="Z7" s="16">
        <f>IF(A7="",0,IF(AND(O7=TRUE,G7&lt;&gt;TRUE),IFERROR(H7,0)+IFERROR(I7,0)+IFERROR(J7,0)+IFERROR(K7,0)+IFERROR(L7,0),0))</f>
        <v/>
      </c>
    </row>
    <row r="8">
      <c r="A8" s="10" t="n"/>
      <c r="B8" s="10" t="n"/>
      <c r="C8" s="11" t="n"/>
      <c r="D8" s="11" t="n"/>
      <c r="E8" s="10" t="n"/>
      <c r="F8" s="10" t="n"/>
      <c r="G8" s="12" t="n"/>
      <c r="H8" s="13" t="n"/>
      <c r="I8" s="13" t="n"/>
      <c r="J8" s="13" t="n"/>
      <c r="K8" s="13" t="n"/>
      <c r="L8" s="13" t="n"/>
      <c r="M8" s="14">
        <f>IFERROR(IF(A8="","",IFERROR(VLOOKUP(A8,Raw_PriorMonth!A:E,5,FALSE),0)),0)</f>
        <v/>
      </c>
      <c r="N8" s="14">
        <f>IF(A8="","",IFERROR(E8,0)+IFERROR(M8,0))</f>
        <v/>
      </c>
      <c r="O8" s="15">
        <f>IF(A8="","",IF(N8&gt;=28,TRUE,FALSE))</f>
        <v/>
      </c>
      <c r="P8" s="15">
        <f>IF(A8="","",OR(G8=TRUE,O8=TRUE))</f>
        <v/>
      </c>
      <c r="Q8" s="16">
        <f>IF(A8="","",IFERROR(H8,0)+IFERROR(I8,0)+IFERROR(J8,0)+IFERROR(K8,0)+IFERROR(L8,0))</f>
        <v/>
      </c>
      <c r="R8" s="16">
        <f>IF(A8="","",IF(P8=TRUE,0,Q8))</f>
        <v/>
      </c>
      <c r="S8" s="16">
        <f>IF(A8="","",IF(P8=TRUE,0,IFERROR(H8,0)))</f>
        <v/>
      </c>
      <c r="T8" s="16">
        <f>IF(A8="","",IF(P8=TRUE,0,IFERROR(I8,0)))</f>
        <v/>
      </c>
      <c r="U8" s="16">
        <f>IF(A8="","",IF(P8=TRUE,0,IFERROR(J8,0)))</f>
        <v/>
      </c>
      <c r="V8" s="16">
        <f>IF(A8="","",IF(P8=TRUE,0,IFERROR(K8,0)))</f>
        <v/>
      </c>
      <c r="W8" s="16">
        <f>IF(A8="","",IF(P8=TRUE,0,IFERROR(L8,0)))</f>
        <v/>
      </c>
      <c r="X8" s="16">
        <f>IF(A8="","",IF(P8=TRUE,0,IFERROR(H8,0)+IFERROR(I8,0)+IFERROR(L8,0)))</f>
        <v/>
      </c>
      <c r="Y8" s="16">
        <f>IF(A8="",0,IF(G8=TRUE,IFERROR(H8,0)+IFERROR(I8,0)+IFERROR(J8,0)+IFERROR(K8,0)+IFERROR(L8,0),0))</f>
        <v/>
      </c>
      <c r="Z8" s="16">
        <f>IF(A8="",0,IF(AND(O8=TRUE,G8&lt;&gt;TRUE),IFERROR(H8,0)+IFERROR(I8,0)+IFERROR(J8,0)+IFERROR(K8,0)+IFERROR(L8,0),0))</f>
        <v/>
      </c>
    </row>
    <row r="9">
      <c r="A9" s="10" t="n"/>
      <c r="B9" s="10" t="n"/>
      <c r="C9" s="11" t="n"/>
      <c r="D9" s="11" t="n"/>
      <c r="E9" s="10" t="n"/>
      <c r="F9" s="10" t="n"/>
      <c r="G9" s="12" t="n"/>
      <c r="H9" s="13" t="n"/>
      <c r="I9" s="13" t="n"/>
      <c r="J9" s="13" t="n"/>
      <c r="K9" s="13" t="n"/>
      <c r="L9" s="13" t="n"/>
      <c r="M9" s="14">
        <f>IFERROR(IF(A9="","",IFERROR(VLOOKUP(A9,Raw_PriorMonth!A:E,5,FALSE),0)),0)</f>
        <v/>
      </c>
      <c r="N9" s="14">
        <f>IF(A9="","",IFERROR(E9,0)+IFERROR(M9,0))</f>
        <v/>
      </c>
      <c r="O9" s="15">
        <f>IF(A9="","",IF(N9&gt;=28,TRUE,FALSE))</f>
        <v/>
      </c>
      <c r="P9" s="15">
        <f>IF(A9="","",OR(G9=TRUE,O9=TRUE))</f>
        <v/>
      </c>
      <c r="Q9" s="16">
        <f>IF(A9="","",IFERROR(H9,0)+IFERROR(I9,0)+IFERROR(J9,0)+IFERROR(K9,0)+IFERROR(L9,0))</f>
        <v/>
      </c>
      <c r="R9" s="16">
        <f>IF(A9="","",IF(P9=TRUE,0,Q9))</f>
        <v/>
      </c>
      <c r="S9" s="16">
        <f>IF(A9="","",IF(P9=TRUE,0,IFERROR(H9,0)))</f>
        <v/>
      </c>
      <c r="T9" s="16">
        <f>IF(A9="","",IF(P9=TRUE,0,IFERROR(I9,0)))</f>
        <v/>
      </c>
      <c r="U9" s="16">
        <f>IF(A9="","",IF(P9=TRUE,0,IFERROR(J9,0)))</f>
        <v/>
      </c>
      <c r="V9" s="16">
        <f>IF(A9="","",IF(P9=TRUE,0,IFERROR(K9,0)))</f>
        <v/>
      </c>
      <c r="W9" s="16">
        <f>IF(A9="","",IF(P9=TRUE,0,IFERROR(L9,0)))</f>
        <v/>
      </c>
      <c r="X9" s="16">
        <f>IF(A9="","",IF(P9=TRUE,0,IFERROR(H9,0)+IFERROR(I9,0)+IFERROR(L9,0)))</f>
        <v/>
      </c>
      <c r="Y9" s="16">
        <f>IF(A9="",0,IF(G9=TRUE,IFERROR(H9,0)+IFERROR(I9,0)+IFERROR(J9,0)+IFERROR(K9,0)+IFERROR(L9,0),0))</f>
        <v/>
      </c>
      <c r="Z9" s="16">
        <f>IF(A9="",0,IF(AND(O9=TRUE,G9&lt;&gt;TRUE),IFERROR(H9,0)+IFERROR(I9,0)+IFERROR(J9,0)+IFERROR(K9,0)+IFERROR(L9,0),0))</f>
        <v/>
      </c>
    </row>
    <row r="10">
      <c r="A10" s="10" t="n"/>
      <c r="B10" s="10" t="n"/>
      <c r="C10" s="11" t="n"/>
      <c r="D10" s="11" t="n"/>
      <c r="E10" s="10" t="n"/>
      <c r="F10" s="10" t="n"/>
      <c r="G10" s="12" t="n"/>
      <c r="H10" s="13" t="n"/>
      <c r="I10" s="13" t="n"/>
      <c r="J10" s="13" t="n"/>
      <c r="K10" s="13" t="n"/>
      <c r="L10" s="13" t="n"/>
      <c r="M10" s="14">
        <f>IFERROR(IF(A10="","",IFERROR(VLOOKUP(A10,Raw_PriorMonth!A:E,5,FALSE),0)),0)</f>
        <v/>
      </c>
      <c r="N10" s="14">
        <f>IF(A10="","",IFERROR(E10,0)+IFERROR(M10,0))</f>
        <v/>
      </c>
      <c r="O10" s="15">
        <f>IF(A10="","",IF(N10&gt;=28,TRUE,FALSE))</f>
        <v/>
      </c>
      <c r="P10" s="15">
        <f>IF(A10="","",OR(G10=TRUE,O10=TRUE))</f>
        <v/>
      </c>
      <c r="Q10" s="16">
        <f>IF(A10="","",IFERROR(H10,0)+IFERROR(I10,0)+IFERROR(J10,0)+IFERROR(K10,0)+IFERROR(L10,0))</f>
        <v/>
      </c>
      <c r="R10" s="16">
        <f>IF(A10="","",IF(P10=TRUE,0,Q10))</f>
        <v/>
      </c>
      <c r="S10" s="16">
        <f>IF(A10="","",IF(P10=TRUE,0,IFERROR(H10,0)))</f>
        <v/>
      </c>
      <c r="T10" s="16">
        <f>IF(A10="","",IF(P10=TRUE,0,IFERROR(I10,0)))</f>
        <v/>
      </c>
      <c r="U10" s="16">
        <f>IF(A10="","",IF(P10=TRUE,0,IFERROR(J10,0)))</f>
        <v/>
      </c>
      <c r="V10" s="16">
        <f>IF(A10="","",IF(P10=TRUE,0,IFERROR(K10,0)))</f>
        <v/>
      </c>
      <c r="W10" s="16">
        <f>IF(A10="","",IF(P10=TRUE,0,IFERROR(L10,0)))</f>
        <v/>
      </c>
      <c r="X10" s="16">
        <f>IF(A10="","",IF(P10=TRUE,0,IFERROR(H10,0)+IFERROR(I10,0)+IFERROR(L10,0)))</f>
        <v/>
      </c>
      <c r="Y10" s="16">
        <f>IF(A10="",0,IF(G10=TRUE,IFERROR(H10,0)+IFERROR(I10,0)+IFERROR(J10,0)+IFERROR(K10,0)+IFERROR(L10,0),0))</f>
        <v/>
      </c>
      <c r="Z10" s="16">
        <f>IF(A10="",0,IF(AND(O10=TRUE,G10&lt;&gt;TRUE),IFERROR(H10,0)+IFERROR(I10,0)+IFERROR(J10,0)+IFERROR(K10,0)+IFERROR(L10,0),0))</f>
        <v/>
      </c>
    </row>
    <row r="11">
      <c r="A11" s="10" t="n"/>
      <c r="B11" s="10" t="n"/>
      <c r="C11" s="11" t="n"/>
      <c r="D11" s="11" t="n"/>
      <c r="E11" s="10" t="n"/>
      <c r="F11" s="10" t="n"/>
      <c r="G11" s="12" t="n"/>
      <c r="H11" s="13" t="n"/>
      <c r="I11" s="13" t="n"/>
      <c r="J11" s="13" t="n"/>
      <c r="K11" s="13" t="n"/>
      <c r="L11" s="13" t="n"/>
      <c r="M11" s="14">
        <f>IFERROR(IF(A11="","",IFERROR(VLOOKUP(A11,Raw_PriorMonth!A:E,5,FALSE),0)),0)</f>
        <v/>
      </c>
      <c r="N11" s="14">
        <f>IF(A11="","",IFERROR(E11,0)+IFERROR(M11,0))</f>
        <v/>
      </c>
      <c r="O11" s="15">
        <f>IF(A11="","",IF(N11&gt;=28,TRUE,FALSE))</f>
        <v/>
      </c>
      <c r="P11" s="15">
        <f>IF(A11="","",OR(G11=TRUE,O11=TRUE))</f>
        <v/>
      </c>
      <c r="Q11" s="16">
        <f>IF(A11="","",IFERROR(H11,0)+IFERROR(I11,0)+IFERROR(J11,0)+IFERROR(K11,0)+IFERROR(L11,0))</f>
        <v/>
      </c>
      <c r="R11" s="16">
        <f>IF(A11="","",IF(P11=TRUE,0,Q11))</f>
        <v/>
      </c>
      <c r="S11" s="16">
        <f>IF(A11="","",IF(P11=TRUE,0,IFERROR(H11,0)))</f>
        <v/>
      </c>
      <c r="T11" s="16">
        <f>IF(A11="","",IF(P11=TRUE,0,IFERROR(I11,0)))</f>
        <v/>
      </c>
      <c r="U11" s="16">
        <f>IF(A11="","",IF(P11=TRUE,0,IFERROR(J11,0)))</f>
        <v/>
      </c>
      <c r="V11" s="16">
        <f>IF(A11="","",IF(P11=TRUE,0,IFERROR(K11,0)))</f>
        <v/>
      </c>
      <c r="W11" s="16">
        <f>IF(A11="","",IF(P11=TRUE,0,IFERROR(L11,0)))</f>
        <v/>
      </c>
      <c r="X11" s="16">
        <f>IF(A11="","",IF(P11=TRUE,0,IFERROR(H11,0)+IFERROR(I11,0)+IFERROR(L11,0)))</f>
        <v/>
      </c>
      <c r="Y11" s="16">
        <f>IF(A11="",0,IF(G11=TRUE,IFERROR(H11,0)+IFERROR(I11,0)+IFERROR(J11,0)+IFERROR(K11,0)+IFERROR(L11,0),0))</f>
        <v/>
      </c>
      <c r="Z11" s="16">
        <f>IF(A11="",0,IF(AND(O11=TRUE,G11&lt;&gt;TRUE),IFERROR(H11,0)+IFERROR(I11,0)+IFERROR(J11,0)+IFERROR(K11,0)+IFERROR(L11,0),0))</f>
        <v/>
      </c>
    </row>
    <row r="12">
      <c r="A12" s="10" t="n"/>
      <c r="B12" s="10" t="n"/>
      <c r="C12" s="11" t="n"/>
      <c r="D12" s="11" t="n"/>
      <c r="E12" s="10" t="n"/>
      <c r="F12" s="10" t="n"/>
      <c r="G12" s="12" t="n"/>
      <c r="H12" s="13" t="n"/>
      <c r="I12" s="13" t="n"/>
      <c r="J12" s="13" t="n"/>
      <c r="K12" s="13" t="n"/>
      <c r="L12" s="13" t="n"/>
      <c r="M12" s="14">
        <f>IFERROR(IF(A12="","",IFERROR(VLOOKUP(A12,Raw_PriorMonth!A:E,5,FALSE),0)),0)</f>
        <v/>
      </c>
      <c r="N12" s="14">
        <f>IF(A12="","",IFERROR(E12,0)+IFERROR(M12,0))</f>
        <v/>
      </c>
      <c r="O12" s="15">
        <f>IF(A12="","",IF(N12&gt;=28,TRUE,FALSE))</f>
        <v/>
      </c>
      <c r="P12" s="15">
        <f>IF(A12="","",OR(G12=TRUE,O12=TRUE))</f>
        <v/>
      </c>
      <c r="Q12" s="16">
        <f>IF(A12="","",IFERROR(H12,0)+IFERROR(I12,0)+IFERROR(J12,0)+IFERROR(K12,0)+IFERROR(L12,0))</f>
        <v/>
      </c>
      <c r="R12" s="16">
        <f>IF(A12="","",IF(P12=TRUE,0,Q12))</f>
        <v/>
      </c>
      <c r="S12" s="16">
        <f>IF(A12="","",IF(P12=TRUE,0,IFERROR(H12,0)))</f>
        <v/>
      </c>
      <c r="T12" s="16">
        <f>IF(A12="","",IF(P12=TRUE,0,IFERROR(I12,0)))</f>
        <v/>
      </c>
      <c r="U12" s="16">
        <f>IF(A12="","",IF(P12=TRUE,0,IFERROR(J12,0)))</f>
        <v/>
      </c>
      <c r="V12" s="16">
        <f>IF(A12="","",IF(P12=TRUE,0,IFERROR(K12,0)))</f>
        <v/>
      </c>
      <c r="W12" s="16">
        <f>IF(A12="","",IF(P12=TRUE,0,IFERROR(L12,0)))</f>
        <v/>
      </c>
      <c r="X12" s="16">
        <f>IF(A12="","",IF(P12=TRUE,0,IFERROR(H12,0)+IFERROR(I12,0)+IFERROR(L12,0)))</f>
        <v/>
      </c>
      <c r="Y12" s="16">
        <f>IF(A12="",0,IF(G12=TRUE,IFERROR(H12,0)+IFERROR(I12,0)+IFERROR(J12,0)+IFERROR(K12,0)+IFERROR(L12,0),0))</f>
        <v/>
      </c>
      <c r="Z12" s="16">
        <f>IF(A12="",0,IF(AND(O12=TRUE,G12&lt;&gt;TRUE),IFERROR(H12,0)+IFERROR(I12,0)+IFERROR(J12,0)+IFERROR(K12,0)+IFERROR(L12,0),0))</f>
        <v/>
      </c>
    </row>
    <row r="13">
      <c r="A13" s="10" t="n"/>
      <c r="B13" s="10" t="n"/>
      <c r="C13" s="11" t="n"/>
      <c r="D13" s="11" t="n"/>
      <c r="E13" s="10" t="n"/>
      <c r="F13" s="10" t="n"/>
      <c r="G13" s="12" t="n"/>
      <c r="H13" s="13" t="n"/>
      <c r="I13" s="13" t="n"/>
      <c r="J13" s="13" t="n"/>
      <c r="K13" s="13" t="n"/>
      <c r="L13" s="13" t="n"/>
      <c r="M13" s="14">
        <f>IFERROR(IF(A13="","",IFERROR(VLOOKUP(A13,Raw_PriorMonth!A:E,5,FALSE),0)),0)</f>
        <v/>
      </c>
      <c r="N13" s="14">
        <f>IF(A13="","",IFERROR(E13,0)+IFERROR(M13,0))</f>
        <v/>
      </c>
      <c r="O13" s="15">
        <f>IF(A13="","",IF(N13&gt;=28,TRUE,FALSE))</f>
        <v/>
      </c>
      <c r="P13" s="15">
        <f>IF(A13="","",OR(G13=TRUE,O13=TRUE))</f>
        <v/>
      </c>
      <c r="Q13" s="16">
        <f>IF(A13="","",IFERROR(H13,0)+IFERROR(I13,0)+IFERROR(J13,0)+IFERROR(K13,0)+IFERROR(L13,0))</f>
        <v/>
      </c>
      <c r="R13" s="16">
        <f>IF(A13="","",IF(P13=TRUE,0,Q13))</f>
        <v/>
      </c>
      <c r="S13" s="16">
        <f>IF(A13="","",IF(P13=TRUE,0,IFERROR(H13,0)))</f>
        <v/>
      </c>
      <c r="T13" s="16">
        <f>IF(A13="","",IF(P13=TRUE,0,IFERROR(I13,0)))</f>
        <v/>
      </c>
      <c r="U13" s="16">
        <f>IF(A13="","",IF(P13=TRUE,0,IFERROR(J13,0)))</f>
        <v/>
      </c>
      <c r="V13" s="16">
        <f>IF(A13="","",IF(P13=TRUE,0,IFERROR(K13,0)))</f>
        <v/>
      </c>
      <c r="W13" s="16">
        <f>IF(A13="","",IF(P13=TRUE,0,IFERROR(L13,0)))</f>
        <v/>
      </c>
      <c r="X13" s="16">
        <f>IF(A13="","",IF(P13=TRUE,0,IFERROR(H13,0)+IFERROR(I13,0)+IFERROR(L13,0)))</f>
        <v/>
      </c>
      <c r="Y13" s="16">
        <f>IF(A13="",0,IF(G13=TRUE,IFERROR(H13,0)+IFERROR(I13,0)+IFERROR(J13,0)+IFERROR(K13,0)+IFERROR(L13,0),0))</f>
        <v/>
      </c>
      <c r="Z13" s="16">
        <f>IF(A13="",0,IF(AND(O13=TRUE,G13&lt;&gt;TRUE),IFERROR(H13,0)+IFERROR(I13,0)+IFERROR(J13,0)+IFERROR(K13,0)+IFERROR(L13,0),0))</f>
        <v/>
      </c>
    </row>
    <row r="14">
      <c r="A14" s="10" t="n"/>
      <c r="B14" s="10" t="n"/>
      <c r="C14" s="11" t="n"/>
      <c r="D14" s="11" t="n"/>
      <c r="E14" s="10" t="n"/>
      <c r="F14" s="10" t="n"/>
      <c r="G14" s="12" t="n"/>
      <c r="H14" s="13" t="n"/>
      <c r="I14" s="13" t="n"/>
      <c r="J14" s="13" t="n"/>
      <c r="K14" s="13" t="n"/>
      <c r="L14" s="13" t="n"/>
      <c r="M14" s="14">
        <f>IFERROR(IF(A14="","",IFERROR(VLOOKUP(A14,Raw_PriorMonth!A:E,5,FALSE),0)),0)</f>
        <v/>
      </c>
      <c r="N14" s="14">
        <f>IF(A14="","",IFERROR(E14,0)+IFERROR(M14,0))</f>
        <v/>
      </c>
      <c r="O14" s="15">
        <f>IF(A14="","",IF(N14&gt;=28,TRUE,FALSE))</f>
        <v/>
      </c>
      <c r="P14" s="15">
        <f>IF(A14="","",OR(G14=TRUE,O14=TRUE))</f>
        <v/>
      </c>
      <c r="Q14" s="16">
        <f>IF(A14="","",IFERROR(H14,0)+IFERROR(I14,0)+IFERROR(J14,0)+IFERROR(K14,0)+IFERROR(L14,0))</f>
        <v/>
      </c>
      <c r="R14" s="16">
        <f>IF(A14="","",IF(P14=TRUE,0,Q14))</f>
        <v/>
      </c>
      <c r="S14" s="16">
        <f>IF(A14="","",IF(P14=TRUE,0,IFERROR(H14,0)))</f>
        <v/>
      </c>
      <c r="T14" s="16">
        <f>IF(A14="","",IF(P14=TRUE,0,IFERROR(I14,0)))</f>
        <v/>
      </c>
      <c r="U14" s="16">
        <f>IF(A14="","",IF(P14=TRUE,0,IFERROR(J14,0)))</f>
        <v/>
      </c>
      <c r="V14" s="16">
        <f>IF(A14="","",IF(P14=TRUE,0,IFERROR(K14,0)))</f>
        <v/>
      </c>
      <c r="W14" s="16">
        <f>IF(A14="","",IF(P14=TRUE,0,IFERROR(L14,0)))</f>
        <v/>
      </c>
      <c r="X14" s="16">
        <f>IF(A14="","",IF(P14=TRUE,0,IFERROR(H14,0)+IFERROR(I14,0)+IFERROR(L14,0)))</f>
        <v/>
      </c>
      <c r="Y14" s="16">
        <f>IF(A14="",0,IF(G14=TRUE,IFERROR(H14,0)+IFERROR(I14,0)+IFERROR(J14,0)+IFERROR(K14,0)+IFERROR(L14,0),0))</f>
        <v/>
      </c>
      <c r="Z14" s="16">
        <f>IF(A14="",0,IF(AND(O14=TRUE,G14&lt;&gt;TRUE),IFERROR(H14,0)+IFERROR(I14,0)+IFERROR(J14,0)+IFERROR(K14,0)+IFERROR(L14,0),0))</f>
        <v/>
      </c>
    </row>
    <row r="15">
      <c r="A15" s="10" t="n"/>
      <c r="B15" s="10" t="n"/>
      <c r="C15" s="11" t="n"/>
      <c r="D15" s="11" t="n"/>
      <c r="E15" s="10" t="n"/>
      <c r="F15" s="10" t="n"/>
      <c r="G15" s="12" t="n"/>
      <c r="H15" s="13" t="n"/>
      <c r="I15" s="13" t="n"/>
      <c r="J15" s="13" t="n"/>
      <c r="K15" s="13" t="n"/>
      <c r="L15" s="13" t="n"/>
      <c r="M15" s="14">
        <f>IFERROR(IF(A15="","",IFERROR(VLOOKUP(A15,Raw_PriorMonth!A:E,5,FALSE),0)),0)</f>
        <v/>
      </c>
      <c r="N15" s="14">
        <f>IF(A15="","",IFERROR(E15,0)+IFERROR(M15,0))</f>
        <v/>
      </c>
      <c r="O15" s="15">
        <f>IF(A15="","",IF(N15&gt;=28,TRUE,FALSE))</f>
        <v/>
      </c>
      <c r="P15" s="15">
        <f>IF(A15="","",OR(G15=TRUE,O15=TRUE))</f>
        <v/>
      </c>
      <c r="Q15" s="16">
        <f>IF(A15="","",IFERROR(H15,0)+IFERROR(I15,0)+IFERROR(J15,0)+IFERROR(K15,0)+IFERROR(L15,0))</f>
        <v/>
      </c>
      <c r="R15" s="16">
        <f>IF(A15="","",IF(P15=TRUE,0,Q15))</f>
        <v/>
      </c>
      <c r="S15" s="16">
        <f>IF(A15="","",IF(P15=TRUE,0,IFERROR(H15,0)))</f>
        <v/>
      </c>
      <c r="T15" s="16">
        <f>IF(A15="","",IF(P15=TRUE,0,IFERROR(I15,0)))</f>
        <v/>
      </c>
      <c r="U15" s="16">
        <f>IF(A15="","",IF(P15=TRUE,0,IFERROR(J15,0)))</f>
        <v/>
      </c>
      <c r="V15" s="16">
        <f>IF(A15="","",IF(P15=TRUE,0,IFERROR(K15,0)))</f>
        <v/>
      </c>
      <c r="W15" s="16">
        <f>IF(A15="","",IF(P15=TRUE,0,IFERROR(L15,0)))</f>
        <v/>
      </c>
      <c r="X15" s="16">
        <f>IF(A15="","",IF(P15=TRUE,0,IFERROR(H15,0)+IFERROR(I15,0)+IFERROR(L15,0)))</f>
        <v/>
      </c>
      <c r="Y15" s="16">
        <f>IF(A15="",0,IF(G15=TRUE,IFERROR(H15,0)+IFERROR(I15,0)+IFERROR(J15,0)+IFERROR(K15,0)+IFERROR(L15,0),0))</f>
        <v/>
      </c>
      <c r="Z15" s="16">
        <f>IF(A15="",0,IF(AND(O15=TRUE,G15&lt;&gt;TRUE),IFERROR(H15,0)+IFERROR(I15,0)+IFERROR(J15,0)+IFERROR(K15,0)+IFERROR(L15,0),0))</f>
        <v/>
      </c>
    </row>
    <row r="16">
      <c r="A16" s="10" t="n"/>
      <c r="B16" s="10" t="n"/>
      <c r="C16" s="11" t="n"/>
      <c r="D16" s="11" t="n"/>
      <c r="E16" s="10" t="n"/>
      <c r="F16" s="10" t="n"/>
      <c r="G16" s="12" t="n"/>
      <c r="H16" s="13" t="n"/>
      <c r="I16" s="13" t="n"/>
      <c r="J16" s="13" t="n"/>
      <c r="K16" s="13" t="n"/>
      <c r="L16" s="13" t="n"/>
      <c r="M16" s="14">
        <f>IFERROR(IF(A16="","",IFERROR(VLOOKUP(A16,Raw_PriorMonth!A:E,5,FALSE),0)),0)</f>
        <v/>
      </c>
      <c r="N16" s="14">
        <f>IF(A16="","",IFERROR(E16,0)+IFERROR(M16,0))</f>
        <v/>
      </c>
      <c r="O16" s="15">
        <f>IF(A16="","",IF(N16&gt;=28,TRUE,FALSE))</f>
        <v/>
      </c>
      <c r="P16" s="15">
        <f>IF(A16="","",OR(G16=TRUE,O16=TRUE))</f>
        <v/>
      </c>
      <c r="Q16" s="16">
        <f>IF(A16="","",IFERROR(H16,0)+IFERROR(I16,0)+IFERROR(J16,0)+IFERROR(K16,0)+IFERROR(L16,0))</f>
        <v/>
      </c>
      <c r="R16" s="16">
        <f>IF(A16="","",IF(P16=TRUE,0,Q16))</f>
        <v/>
      </c>
      <c r="S16" s="16">
        <f>IF(A16="","",IF(P16=TRUE,0,IFERROR(H16,0)))</f>
        <v/>
      </c>
      <c r="T16" s="16">
        <f>IF(A16="","",IF(P16=TRUE,0,IFERROR(I16,0)))</f>
        <v/>
      </c>
      <c r="U16" s="16">
        <f>IF(A16="","",IF(P16=TRUE,0,IFERROR(J16,0)))</f>
        <v/>
      </c>
      <c r="V16" s="16">
        <f>IF(A16="","",IF(P16=TRUE,0,IFERROR(K16,0)))</f>
        <v/>
      </c>
      <c r="W16" s="16">
        <f>IF(A16="","",IF(P16=TRUE,0,IFERROR(L16,0)))</f>
        <v/>
      </c>
      <c r="X16" s="16">
        <f>IF(A16="","",IF(P16=TRUE,0,IFERROR(H16,0)+IFERROR(I16,0)+IFERROR(L16,0)))</f>
        <v/>
      </c>
      <c r="Y16" s="16">
        <f>IF(A16="",0,IF(G16=TRUE,IFERROR(H16,0)+IFERROR(I16,0)+IFERROR(J16,0)+IFERROR(K16,0)+IFERROR(L16,0),0))</f>
        <v/>
      </c>
      <c r="Z16" s="16">
        <f>IF(A16="",0,IF(AND(O16=TRUE,G16&lt;&gt;TRUE),IFERROR(H16,0)+IFERROR(I16,0)+IFERROR(J16,0)+IFERROR(K16,0)+IFERROR(L16,0),0))</f>
        <v/>
      </c>
    </row>
    <row r="17">
      <c r="A17" s="10" t="n"/>
      <c r="B17" s="10" t="n"/>
      <c r="C17" s="11" t="n"/>
      <c r="D17" s="11" t="n"/>
      <c r="E17" s="10" t="n"/>
      <c r="F17" s="10" t="n"/>
      <c r="G17" s="12" t="n"/>
      <c r="H17" s="13" t="n"/>
      <c r="I17" s="13" t="n"/>
      <c r="J17" s="13" t="n"/>
      <c r="K17" s="13" t="n"/>
      <c r="L17" s="13" t="n"/>
      <c r="M17" s="14">
        <f>IFERROR(IF(A17="","",IFERROR(VLOOKUP(A17,Raw_PriorMonth!A:E,5,FALSE),0)),0)</f>
        <v/>
      </c>
      <c r="N17" s="14">
        <f>IF(A17="","",IFERROR(E17,0)+IFERROR(M17,0))</f>
        <v/>
      </c>
      <c r="O17" s="15">
        <f>IF(A17="","",IF(N17&gt;=28,TRUE,FALSE))</f>
        <v/>
      </c>
      <c r="P17" s="15">
        <f>IF(A17="","",OR(G17=TRUE,O17=TRUE))</f>
        <v/>
      </c>
      <c r="Q17" s="16">
        <f>IF(A17="","",IFERROR(H17,0)+IFERROR(I17,0)+IFERROR(J17,0)+IFERROR(K17,0)+IFERROR(L17,0))</f>
        <v/>
      </c>
      <c r="R17" s="16">
        <f>IF(A17="","",IF(P17=TRUE,0,Q17))</f>
        <v/>
      </c>
      <c r="S17" s="16">
        <f>IF(A17="","",IF(P17=TRUE,0,IFERROR(H17,0)))</f>
        <v/>
      </c>
      <c r="T17" s="16">
        <f>IF(A17="","",IF(P17=TRUE,0,IFERROR(I17,0)))</f>
        <v/>
      </c>
      <c r="U17" s="16">
        <f>IF(A17="","",IF(P17=TRUE,0,IFERROR(J17,0)))</f>
        <v/>
      </c>
      <c r="V17" s="16">
        <f>IF(A17="","",IF(P17=TRUE,0,IFERROR(K17,0)))</f>
        <v/>
      </c>
      <c r="W17" s="16">
        <f>IF(A17="","",IF(P17=TRUE,0,IFERROR(L17,0)))</f>
        <v/>
      </c>
      <c r="X17" s="16">
        <f>IF(A17="","",IF(P17=TRUE,0,IFERROR(H17,0)+IFERROR(I17,0)+IFERROR(L17,0)))</f>
        <v/>
      </c>
      <c r="Y17" s="16">
        <f>IF(A17="",0,IF(G17=TRUE,IFERROR(H17,0)+IFERROR(I17,0)+IFERROR(J17,0)+IFERROR(K17,0)+IFERROR(L17,0),0))</f>
        <v/>
      </c>
      <c r="Z17" s="16">
        <f>IF(A17="",0,IF(AND(O17=TRUE,G17&lt;&gt;TRUE),IFERROR(H17,0)+IFERROR(I17,0)+IFERROR(J17,0)+IFERROR(K17,0)+IFERROR(L17,0),0))</f>
        <v/>
      </c>
    </row>
    <row r="18">
      <c r="A18" s="10" t="n"/>
      <c r="B18" s="10" t="n"/>
      <c r="C18" s="11" t="n"/>
      <c r="D18" s="11" t="n"/>
      <c r="E18" s="10" t="n"/>
      <c r="F18" s="10" t="n"/>
      <c r="G18" s="12" t="n"/>
      <c r="H18" s="13" t="n"/>
      <c r="I18" s="13" t="n"/>
      <c r="J18" s="13" t="n"/>
      <c r="K18" s="13" t="n"/>
      <c r="L18" s="13" t="n"/>
      <c r="M18" s="14">
        <f>IFERROR(IF(A18="","",IFERROR(VLOOKUP(A18,Raw_PriorMonth!A:E,5,FALSE),0)),0)</f>
        <v/>
      </c>
      <c r="N18" s="14">
        <f>IF(A18="","",IFERROR(E18,0)+IFERROR(M18,0))</f>
        <v/>
      </c>
      <c r="O18" s="15">
        <f>IF(A18="","",IF(N18&gt;=28,TRUE,FALSE))</f>
        <v/>
      </c>
      <c r="P18" s="15">
        <f>IF(A18="","",OR(G18=TRUE,O18=TRUE))</f>
        <v/>
      </c>
      <c r="Q18" s="16">
        <f>IF(A18="","",IFERROR(H18,0)+IFERROR(I18,0)+IFERROR(J18,0)+IFERROR(K18,0)+IFERROR(L18,0))</f>
        <v/>
      </c>
      <c r="R18" s="16">
        <f>IF(A18="","",IF(P18=TRUE,0,Q18))</f>
        <v/>
      </c>
      <c r="S18" s="16">
        <f>IF(A18="","",IF(P18=TRUE,0,IFERROR(H18,0)))</f>
        <v/>
      </c>
      <c r="T18" s="16">
        <f>IF(A18="","",IF(P18=TRUE,0,IFERROR(I18,0)))</f>
        <v/>
      </c>
      <c r="U18" s="16">
        <f>IF(A18="","",IF(P18=TRUE,0,IFERROR(J18,0)))</f>
        <v/>
      </c>
      <c r="V18" s="16">
        <f>IF(A18="","",IF(P18=TRUE,0,IFERROR(K18,0)))</f>
        <v/>
      </c>
      <c r="W18" s="16">
        <f>IF(A18="","",IF(P18=TRUE,0,IFERROR(L18,0)))</f>
        <v/>
      </c>
      <c r="X18" s="16">
        <f>IF(A18="","",IF(P18=TRUE,0,IFERROR(H18,0)+IFERROR(I18,0)+IFERROR(L18,0)))</f>
        <v/>
      </c>
      <c r="Y18" s="16">
        <f>IF(A18="",0,IF(G18=TRUE,IFERROR(H18,0)+IFERROR(I18,0)+IFERROR(J18,0)+IFERROR(K18,0)+IFERROR(L18,0),0))</f>
        <v/>
      </c>
      <c r="Z18" s="16">
        <f>IF(A18="",0,IF(AND(O18=TRUE,G18&lt;&gt;TRUE),IFERROR(H18,0)+IFERROR(I18,0)+IFERROR(J18,0)+IFERROR(K18,0)+IFERROR(L18,0),0))</f>
        <v/>
      </c>
    </row>
    <row r="19">
      <c r="A19" s="10" t="n"/>
      <c r="B19" s="10" t="n"/>
      <c r="C19" s="11" t="n"/>
      <c r="D19" s="11" t="n"/>
      <c r="E19" s="10" t="n"/>
      <c r="F19" s="10" t="n"/>
      <c r="G19" s="12" t="n"/>
      <c r="H19" s="13" t="n"/>
      <c r="I19" s="13" t="n"/>
      <c r="J19" s="13" t="n"/>
      <c r="K19" s="13" t="n"/>
      <c r="L19" s="13" t="n"/>
      <c r="M19" s="14">
        <f>IFERROR(IF(A19="","",IFERROR(VLOOKUP(A19,Raw_PriorMonth!A:E,5,FALSE),0)),0)</f>
        <v/>
      </c>
      <c r="N19" s="14">
        <f>IF(A19="","",IFERROR(E19,0)+IFERROR(M19,0))</f>
        <v/>
      </c>
      <c r="O19" s="15">
        <f>IF(A19="","",IF(N19&gt;=28,TRUE,FALSE))</f>
        <v/>
      </c>
      <c r="P19" s="15">
        <f>IF(A19="","",OR(G19=TRUE,O19=TRUE))</f>
        <v/>
      </c>
      <c r="Q19" s="16">
        <f>IF(A19="","",IFERROR(H19,0)+IFERROR(I19,0)+IFERROR(J19,0)+IFERROR(K19,0)+IFERROR(L19,0))</f>
        <v/>
      </c>
      <c r="R19" s="16">
        <f>IF(A19="","",IF(P19=TRUE,0,Q19))</f>
        <v/>
      </c>
      <c r="S19" s="16">
        <f>IF(A19="","",IF(P19=TRUE,0,IFERROR(H19,0)))</f>
        <v/>
      </c>
      <c r="T19" s="16">
        <f>IF(A19="","",IF(P19=TRUE,0,IFERROR(I19,0)))</f>
        <v/>
      </c>
      <c r="U19" s="16">
        <f>IF(A19="","",IF(P19=TRUE,0,IFERROR(J19,0)))</f>
        <v/>
      </c>
      <c r="V19" s="16">
        <f>IF(A19="","",IF(P19=TRUE,0,IFERROR(K19,0)))</f>
        <v/>
      </c>
      <c r="W19" s="16">
        <f>IF(A19="","",IF(P19=TRUE,0,IFERROR(L19,0)))</f>
        <v/>
      </c>
      <c r="X19" s="16">
        <f>IF(A19="","",IF(P19=TRUE,0,IFERROR(H19,0)+IFERROR(I19,0)+IFERROR(L19,0)))</f>
        <v/>
      </c>
      <c r="Y19" s="16">
        <f>IF(A19="",0,IF(G19=TRUE,IFERROR(H19,0)+IFERROR(I19,0)+IFERROR(J19,0)+IFERROR(K19,0)+IFERROR(L19,0),0))</f>
        <v/>
      </c>
      <c r="Z19" s="16">
        <f>IF(A19="",0,IF(AND(O19=TRUE,G19&lt;&gt;TRUE),IFERROR(H19,0)+IFERROR(I19,0)+IFERROR(J19,0)+IFERROR(K19,0)+IFERROR(L19,0),0))</f>
        <v/>
      </c>
    </row>
    <row r="20">
      <c r="A20" s="10" t="n"/>
      <c r="B20" s="10" t="n"/>
      <c r="C20" s="11" t="n"/>
      <c r="D20" s="11" t="n"/>
      <c r="E20" s="10" t="n"/>
      <c r="F20" s="10" t="n"/>
      <c r="G20" s="12" t="n"/>
      <c r="H20" s="13" t="n"/>
      <c r="I20" s="13" t="n"/>
      <c r="J20" s="13" t="n"/>
      <c r="K20" s="13" t="n"/>
      <c r="L20" s="13" t="n"/>
      <c r="M20" s="14">
        <f>IFERROR(IF(A20="","",IFERROR(VLOOKUP(A20,Raw_PriorMonth!A:E,5,FALSE),0)),0)</f>
        <v/>
      </c>
      <c r="N20" s="14">
        <f>IF(A20="","",IFERROR(E20,0)+IFERROR(M20,0))</f>
        <v/>
      </c>
      <c r="O20" s="15">
        <f>IF(A20="","",IF(N20&gt;=28,TRUE,FALSE))</f>
        <v/>
      </c>
      <c r="P20" s="15">
        <f>IF(A20="","",OR(G20=TRUE,O20=TRUE))</f>
        <v/>
      </c>
      <c r="Q20" s="16">
        <f>IF(A20="","",IFERROR(H20,0)+IFERROR(I20,0)+IFERROR(J20,0)+IFERROR(K20,0)+IFERROR(L20,0))</f>
        <v/>
      </c>
      <c r="R20" s="16">
        <f>IF(A20="","",IF(P20=TRUE,0,Q20))</f>
        <v/>
      </c>
      <c r="S20" s="16">
        <f>IF(A20="","",IF(P20=TRUE,0,IFERROR(H20,0)))</f>
        <v/>
      </c>
      <c r="T20" s="16">
        <f>IF(A20="","",IF(P20=TRUE,0,IFERROR(I20,0)))</f>
        <v/>
      </c>
      <c r="U20" s="16">
        <f>IF(A20="","",IF(P20=TRUE,0,IFERROR(J20,0)))</f>
        <v/>
      </c>
      <c r="V20" s="16">
        <f>IF(A20="","",IF(P20=TRUE,0,IFERROR(K20,0)))</f>
        <v/>
      </c>
      <c r="W20" s="16">
        <f>IF(A20="","",IF(P20=TRUE,0,IFERROR(L20,0)))</f>
        <v/>
      </c>
      <c r="X20" s="16">
        <f>IF(A20="","",IF(P20=TRUE,0,IFERROR(H20,0)+IFERROR(I20,0)+IFERROR(L20,0)))</f>
        <v/>
      </c>
      <c r="Y20" s="16">
        <f>IF(A20="",0,IF(G20=TRUE,IFERROR(H20,0)+IFERROR(I20,0)+IFERROR(J20,0)+IFERROR(K20,0)+IFERROR(L20,0),0))</f>
        <v/>
      </c>
      <c r="Z20" s="16">
        <f>IF(A20="",0,IF(AND(O20=TRUE,G20&lt;&gt;TRUE),IFERROR(H20,0)+IFERROR(I20,0)+IFERROR(J20,0)+IFERROR(K20,0)+IFERROR(L20,0),0))</f>
        <v/>
      </c>
    </row>
    <row r="21">
      <c r="A21" s="10" t="n"/>
      <c r="B21" s="10" t="n"/>
      <c r="C21" s="11" t="n"/>
      <c r="D21" s="11" t="n"/>
      <c r="E21" s="10" t="n"/>
      <c r="F21" s="10" t="n"/>
      <c r="G21" s="12" t="n"/>
      <c r="H21" s="13" t="n"/>
      <c r="I21" s="13" t="n"/>
      <c r="J21" s="13" t="n"/>
      <c r="K21" s="13" t="n"/>
      <c r="L21" s="13" t="n"/>
      <c r="M21" s="14">
        <f>IFERROR(IF(A21="","",IFERROR(VLOOKUP(A21,Raw_PriorMonth!A:E,5,FALSE),0)),0)</f>
        <v/>
      </c>
      <c r="N21" s="14">
        <f>IF(A21="","",IFERROR(E21,0)+IFERROR(M21,0))</f>
        <v/>
      </c>
      <c r="O21" s="15">
        <f>IF(A21="","",IF(N21&gt;=28,TRUE,FALSE))</f>
        <v/>
      </c>
      <c r="P21" s="15">
        <f>IF(A21="","",OR(G21=TRUE,O21=TRUE))</f>
        <v/>
      </c>
      <c r="Q21" s="16">
        <f>IF(A21="","",IFERROR(H21,0)+IFERROR(I21,0)+IFERROR(J21,0)+IFERROR(K21,0)+IFERROR(L21,0))</f>
        <v/>
      </c>
      <c r="R21" s="16">
        <f>IF(A21="","",IF(P21=TRUE,0,Q21))</f>
        <v/>
      </c>
      <c r="S21" s="16">
        <f>IF(A21="","",IF(P21=TRUE,0,IFERROR(H21,0)))</f>
        <v/>
      </c>
      <c r="T21" s="16">
        <f>IF(A21="","",IF(P21=TRUE,0,IFERROR(I21,0)))</f>
        <v/>
      </c>
      <c r="U21" s="16">
        <f>IF(A21="","",IF(P21=TRUE,0,IFERROR(J21,0)))</f>
        <v/>
      </c>
      <c r="V21" s="16">
        <f>IF(A21="","",IF(P21=TRUE,0,IFERROR(K21,0)))</f>
        <v/>
      </c>
      <c r="W21" s="16">
        <f>IF(A21="","",IF(P21=TRUE,0,IFERROR(L21,0)))</f>
        <v/>
      </c>
      <c r="X21" s="16">
        <f>IF(A21="","",IF(P21=TRUE,0,IFERROR(H21,0)+IFERROR(I21,0)+IFERROR(L21,0)))</f>
        <v/>
      </c>
      <c r="Y21" s="16">
        <f>IF(A21="",0,IF(G21=TRUE,IFERROR(H21,0)+IFERROR(I21,0)+IFERROR(J21,0)+IFERROR(K21,0)+IFERROR(L21,0),0))</f>
        <v/>
      </c>
      <c r="Z21" s="16">
        <f>IF(A21="",0,IF(AND(O21=TRUE,G21&lt;&gt;TRUE),IFERROR(H21,0)+IFERROR(I21,0)+IFERROR(J21,0)+IFERROR(K21,0)+IFERROR(L21,0),0))</f>
        <v/>
      </c>
    </row>
    <row r="22">
      <c r="A22" s="10" t="n"/>
      <c r="B22" s="10" t="n"/>
      <c r="C22" s="11" t="n"/>
      <c r="D22" s="11" t="n"/>
      <c r="E22" s="10" t="n"/>
      <c r="F22" s="10" t="n"/>
      <c r="G22" s="12" t="n"/>
      <c r="H22" s="13" t="n"/>
      <c r="I22" s="13" t="n"/>
      <c r="J22" s="13" t="n"/>
      <c r="K22" s="13" t="n"/>
      <c r="L22" s="13" t="n"/>
      <c r="M22" s="14">
        <f>IFERROR(IF(A22="","",IFERROR(VLOOKUP(A22,Raw_PriorMonth!A:E,5,FALSE),0)),0)</f>
        <v/>
      </c>
      <c r="N22" s="14">
        <f>IF(A22="","",IFERROR(E22,0)+IFERROR(M22,0))</f>
        <v/>
      </c>
      <c r="O22" s="15">
        <f>IF(A22="","",IF(N22&gt;=28,TRUE,FALSE))</f>
        <v/>
      </c>
      <c r="P22" s="15">
        <f>IF(A22="","",OR(G22=TRUE,O22=TRUE))</f>
        <v/>
      </c>
      <c r="Q22" s="16">
        <f>IF(A22="","",IFERROR(H22,0)+IFERROR(I22,0)+IFERROR(J22,0)+IFERROR(K22,0)+IFERROR(L22,0))</f>
        <v/>
      </c>
      <c r="R22" s="16">
        <f>IF(A22="","",IF(P22=TRUE,0,Q22))</f>
        <v/>
      </c>
      <c r="S22" s="16">
        <f>IF(A22="","",IF(P22=TRUE,0,IFERROR(H22,0)))</f>
        <v/>
      </c>
      <c r="T22" s="16">
        <f>IF(A22="","",IF(P22=TRUE,0,IFERROR(I22,0)))</f>
        <v/>
      </c>
      <c r="U22" s="16">
        <f>IF(A22="","",IF(P22=TRUE,0,IFERROR(J22,0)))</f>
        <v/>
      </c>
      <c r="V22" s="16">
        <f>IF(A22="","",IF(P22=TRUE,0,IFERROR(K22,0)))</f>
        <v/>
      </c>
      <c r="W22" s="16">
        <f>IF(A22="","",IF(P22=TRUE,0,IFERROR(L22,0)))</f>
        <v/>
      </c>
      <c r="X22" s="16">
        <f>IF(A22="","",IF(P22=TRUE,0,IFERROR(H22,0)+IFERROR(I22,0)+IFERROR(L22,0)))</f>
        <v/>
      </c>
      <c r="Y22" s="16">
        <f>IF(A22="",0,IF(G22=TRUE,IFERROR(H22,0)+IFERROR(I22,0)+IFERROR(J22,0)+IFERROR(K22,0)+IFERROR(L22,0),0))</f>
        <v/>
      </c>
      <c r="Z22" s="16">
        <f>IF(A22="",0,IF(AND(O22=TRUE,G22&lt;&gt;TRUE),IFERROR(H22,0)+IFERROR(I22,0)+IFERROR(J22,0)+IFERROR(K22,0)+IFERROR(L22,0),0))</f>
        <v/>
      </c>
    </row>
    <row r="23">
      <c r="A23" s="10" t="n"/>
      <c r="B23" s="10" t="n"/>
      <c r="C23" s="11" t="n"/>
      <c r="D23" s="11" t="n"/>
      <c r="E23" s="10" t="n"/>
      <c r="F23" s="10" t="n"/>
      <c r="G23" s="12" t="n"/>
      <c r="H23" s="13" t="n"/>
      <c r="I23" s="13" t="n"/>
      <c r="J23" s="13" t="n"/>
      <c r="K23" s="13" t="n"/>
      <c r="L23" s="13" t="n"/>
      <c r="M23" s="14">
        <f>IFERROR(IF(A23="","",IFERROR(VLOOKUP(A23,Raw_PriorMonth!A:E,5,FALSE),0)),0)</f>
        <v/>
      </c>
      <c r="N23" s="14">
        <f>IF(A23="","",IFERROR(E23,0)+IFERROR(M23,0))</f>
        <v/>
      </c>
      <c r="O23" s="15">
        <f>IF(A23="","",IF(N23&gt;=28,TRUE,FALSE))</f>
        <v/>
      </c>
      <c r="P23" s="15">
        <f>IF(A23="","",OR(G23=TRUE,O23=TRUE))</f>
        <v/>
      </c>
      <c r="Q23" s="16">
        <f>IF(A23="","",IFERROR(H23,0)+IFERROR(I23,0)+IFERROR(J23,0)+IFERROR(K23,0)+IFERROR(L23,0))</f>
        <v/>
      </c>
      <c r="R23" s="16">
        <f>IF(A23="","",IF(P23=TRUE,0,Q23))</f>
        <v/>
      </c>
      <c r="S23" s="16">
        <f>IF(A23="","",IF(P23=TRUE,0,IFERROR(H23,0)))</f>
        <v/>
      </c>
      <c r="T23" s="16">
        <f>IF(A23="","",IF(P23=TRUE,0,IFERROR(I23,0)))</f>
        <v/>
      </c>
      <c r="U23" s="16">
        <f>IF(A23="","",IF(P23=TRUE,0,IFERROR(J23,0)))</f>
        <v/>
      </c>
      <c r="V23" s="16">
        <f>IF(A23="","",IF(P23=TRUE,0,IFERROR(K23,0)))</f>
        <v/>
      </c>
      <c r="W23" s="16">
        <f>IF(A23="","",IF(P23=TRUE,0,IFERROR(L23,0)))</f>
        <v/>
      </c>
      <c r="X23" s="16">
        <f>IF(A23="","",IF(P23=TRUE,0,IFERROR(H23,0)+IFERROR(I23,0)+IFERROR(L23,0)))</f>
        <v/>
      </c>
      <c r="Y23" s="16">
        <f>IF(A23="",0,IF(G23=TRUE,IFERROR(H23,0)+IFERROR(I23,0)+IFERROR(J23,0)+IFERROR(K23,0)+IFERROR(L23,0),0))</f>
        <v/>
      </c>
      <c r="Z23" s="16">
        <f>IF(A23="",0,IF(AND(O23=TRUE,G23&lt;&gt;TRUE),IFERROR(H23,0)+IFERROR(I23,0)+IFERROR(J23,0)+IFERROR(K23,0)+IFERROR(L23,0),0))</f>
        <v/>
      </c>
    </row>
    <row r="24">
      <c r="A24" s="10" t="n"/>
      <c r="B24" s="10" t="n"/>
      <c r="C24" s="11" t="n"/>
      <c r="D24" s="11" t="n"/>
      <c r="E24" s="10" t="n"/>
      <c r="F24" s="10" t="n"/>
      <c r="G24" s="12" t="n"/>
      <c r="H24" s="13" t="n"/>
      <c r="I24" s="13" t="n"/>
      <c r="J24" s="13" t="n"/>
      <c r="K24" s="13" t="n"/>
      <c r="L24" s="13" t="n"/>
      <c r="M24" s="14">
        <f>IFERROR(IF(A24="","",IFERROR(VLOOKUP(A24,Raw_PriorMonth!A:E,5,FALSE),0)),0)</f>
        <v/>
      </c>
      <c r="N24" s="14">
        <f>IF(A24="","",IFERROR(E24,0)+IFERROR(M24,0))</f>
        <v/>
      </c>
      <c r="O24" s="15">
        <f>IF(A24="","",IF(N24&gt;=28,TRUE,FALSE))</f>
        <v/>
      </c>
      <c r="P24" s="15">
        <f>IF(A24="","",OR(G24=TRUE,O24=TRUE))</f>
        <v/>
      </c>
      <c r="Q24" s="16">
        <f>IF(A24="","",IFERROR(H24,0)+IFERROR(I24,0)+IFERROR(J24,0)+IFERROR(K24,0)+IFERROR(L24,0))</f>
        <v/>
      </c>
      <c r="R24" s="16">
        <f>IF(A24="","",IF(P24=TRUE,0,Q24))</f>
        <v/>
      </c>
      <c r="S24" s="16">
        <f>IF(A24="","",IF(P24=TRUE,0,IFERROR(H24,0)))</f>
        <v/>
      </c>
      <c r="T24" s="16">
        <f>IF(A24="","",IF(P24=TRUE,0,IFERROR(I24,0)))</f>
        <v/>
      </c>
      <c r="U24" s="16">
        <f>IF(A24="","",IF(P24=TRUE,0,IFERROR(J24,0)))</f>
        <v/>
      </c>
      <c r="V24" s="16">
        <f>IF(A24="","",IF(P24=TRUE,0,IFERROR(K24,0)))</f>
        <v/>
      </c>
      <c r="W24" s="16">
        <f>IF(A24="","",IF(P24=TRUE,0,IFERROR(L24,0)))</f>
        <v/>
      </c>
      <c r="X24" s="16">
        <f>IF(A24="","",IF(P24=TRUE,0,IFERROR(H24,0)+IFERROR(I24,0)+IFERROR(L24,0)))</f>
        <v/>
      </c>
      <c r="Y24" s="16">
        <f>IF(A24="",0,IF(G24=TRUE,IFERROR(H24,0)+IFERROR(I24,0)+IFERROR(J24,0)+IFERROR(K24,0)+IFERROR(L24,0),0))</f>
        <v/>
      </c>
      <c r="Z24" s="16">
        <f>IF(A24="",0,IF(AND(O24=TRUE,G24&lt;&gt;TRUE),IFERROR(H24,0)+IFERROR(I24,0)+IFERROR(J24,0)+IFERROR(K24,0)+IFERROR(L24,0),0))</f>
        <v/>
      </c>
    </row>
    <row r="25">
      <c r="A25" s="10" t="n"/>
      <c r="B25" s="10" t="n"/>
      <c r="C25" s="11" t="n"/>
      <c r="D25" s="11" t="n"/>
      <c r="E25" s="10" t="n"/>
      <c r="F25" s="10" t="n"/>
      <c r="G25" s="12" t="n"/>
      <c r="H25" s="13" t="n"/>
      <c r="I25" s="13" t="n"/>
      <c r="J25" s="13" t="n"/>
      <c r="K25" s="13" t="n"/>
      <c r="L25" s="13" t="n"/>
      <c r="M25" s="14">
        <f>IFERROR(IF(A25="","",IFERROR(VLOOKUP(A25,Raw_PriorMonth!A:E,5,FALSE),0)),0)</f>
        <v/>
      </c>
      <c r="N25" s="14">
        <f>IF(A25="","",IFERROR(E25,0)+IFERROR(M25,0))</f>
        <v/>
      </c>
      <c r="O25" s="15">
        <f>IF(A25="","",IF(N25&gt;=28,TRUE,FALSE))</f>
        <v/>
      </c>
      <c r="P25" s="15">
        <f>IF(A25="","",OR(G25=TRUE,O25=TRUE))</f>
        <v/>
      </c>
      <c r="Q25" s="16">
        <f>IF(A25="","",IFERROR(H25,0)+IFERROR(I25,0)+IFERROR(J25,0)+IFERROR(K25,0)+IFERROR(L25,0))</f>
        <v/>
      </c>
      <c r="R25" s="16">
        <f>IF(A25="","",IF(P25=TRUE,0,Q25))</f>
        <v/>
      </c>
      <c r="S25" s="16">
        <f>IF(A25="","",IF(P25=TRUE,0,IFERROR(H25,0)))</f>
        <v/>
      </c>
      <c r="T25" s="16">
        <f>IF(A25="","",IF(P25=TRUE,0,IFERROR(I25,0)))</f>
        <v/>
      </c>
      <c r="U25" s="16">
        <f>IF(A25="","",IF(P25=TRUE,0,IFERROR(J25,0)))</f>
        <v/>
      </c>
      <c r="V25" s="16">
        <f>IF(A25="","",IF(P25=TRUE,0,IFERROR(K25,0)))</f>
        <v/>
      </c>
      <c r="W25" s="16">
        <f>IF(A25="","",IF(P25=TRUE,0,IFERROR(L25,0)))</f>
        <v/>
      </c>
      <c r="X25" s="16">
        <f>IF(A25="","",IF(P25=TRUE,0,IFERROR(H25,0)+IFERROR(I25,0)+IFERROR(L25,0)))</f>
        <v/>
      </c>
      <c r="Y25" s="16">
        <f>IF(A25="",0,IF(G25=TRUE,IFERROR(H25,0)+IFERROR(I25,0)+IFERROR(J25,0)+IFERROR(K25,0)+IFERROR(L25,0),0))</f>
        <v/>
      </c>
      <c r="Z25" s="16">
        <f>IF(A25="",0,IF(AND(O25=TRUE,G25&lt;&gt;TRUE),IFERROR(H25,0)+IFERROR(I25,0)+IFERROR(J25,0)+IFERROR(K25,0)+IFERROR(L25,0),0))</f>
        <v/>
      </c>
    </row>
    <row r="26">
      <c r="A26" s="10" t="n"/>
      <c r="B26" s="10" t="n"/>
      <c r="C26" s="11" t="n"/>
      <c r="D26" s="11" t="n"/>
      <c r="E26" s="10" t="n"/>
      <c r="F26" s="10" t="n"/>
      <c r="G26" s="12" t="n"/>
      <c r="H26" s="13" t="n"/>
      <c r="I26" s="13" t="n"/>
      <c r="J26" s="13" t="n"/>
      <c r="K26" s="13" t="n"/>
      <c r="L26" s="13" t="n"/>
      <c r="M26" s="14">
        <f>IFERROR(IF(A26="","",IFERROR(VLOOKUP(A26,Raw_PriorMonth!A:E,5,FALSE),0)),0)</f>
        <v/>
      </c>
      <c r="N26" s="14">
        <f>IF(A26="","",IFERROR(E26,0)+IFERROR(M26,0))</f>
        <v/>
      </c>
      <c r="O26" s="15">
        <f>IF(A26="","",IF(N26&gt;=28,TRUE,FALSE))</f>
        <v/>
      </c>
      <c r="P26" s="15">
        <f>IF(A26="","",OR(G26=TRUE,O26=TRUE))</f>
        <v/>
      </c>
      <c r="Q26" s="16">
        <f>IF(A26="","",IFERROR(H26,0)+IFERROR(I26,0)+IFERROR(J26,0)+IFERROR(K26,0)+IFERROR(L26,0))</f>
        <v/>
      </c>
      <c r="R26" s="16">
        <f>IF(A26="","",IF(P26=TRUE,0,Q26))</f>
        <v/>
      </c>
      <c r="S26" s="16">
        <f>IF(A26="","",IF(P26=TRUE,0,IFERROR(H26,0)))</f>
        <v/>
      </c>
      <c r="T26" s="16">
        <f>IF(A26="","",IF(P26=TRUE,0,IFERROR(I26,0)))</f>
        <v/>
      </c>
      <c r="U26" s="16">
        <f>IF(A26="","",IF(P26=TRUE,0,IFERROR(J26,0)))</f>
        <v/>
      </c>
      <c r="V26" s="16">
        <f>IF(A26="","",IF(P26=TRUE,0,IFERROR(K26,0)))</f>
        <v/>
      </c>
      <c r="W26" s="16">
        <f>IF(A26="","",IF(P26=TRUE,0,IFERROR(L26,0)))</f>
        <v/>
      </c>
      <c r="X26" s="16">
        <f>IF(A26="","",IF(P26=TRUE,0,IFERROR(H26,0)+IFERROR(I26,0)+IFERROR(L26,0)))</f>
        <v/>
      </c>
      <c r="Y26" s="16">
        <f>IF(A26="",0,IF(G26=TRUE,IFERROR(H26,0)+IFERROR(I26,0)+IFERROR(J26,0)+IFERROR(K26,0)+IFERROR(L26,0),0))</f>
        <v/>
      </c>
      <c r="Z26" s="16">
        <f>IF(A26="",0,IF(AND(O26=TRUE,G26&lt;&gt;TRUE),IFERROR(H26,0)+IFERROR(I26,0)+IFERROR(J26,0)+IFERROR(K26,0)+IFERROR(L26,0),0))</f>
        <v/>
      </c>
    </row>
    <row r="27">
      <c r="A27" s="10" t="n"/>
      <c r="B27" s="10" t="n"/>
      <c r="C27" s="11" t="n"/>
      <c r="D27" s="11" t="n"/>
      <c r="E27" s="10" t="n"/>
      <c r="F27" s="10" t="n"/>
      <c r="G27" s="12" t="n"/>
      <c r="H27" s="13" t="n"/>
      <c r="I27" s="13" t="n"/>
      <c r="J27" s="13" t="n"/>
      <c r="K27" s="13" t="n"/>
      <c r="L27" s="13" t="n"/>
      <c r="M27" s="14">
        <f>IFERROR(IF(A27="","",IFERROR(VLOOKUP(A27,Raw_PriorMonth!A:E,5,FALSE),0)),0)</f>
        <v/>
      </c>
      <c r="N27" s="14">
        <f>IF(A27="","",IFERROR(E27,0)+IFERROR(M27,0))</f>
        <v/>
      </c>
      <c r="O27" s="15">
        <f>IF(A27="","",IF(N27&gt;=28,TRUE,FALSE))</f>
        <v/>
      </c>
      <c r="P27" s="15">
        <f>IF(A27="","",OR(G27=TRUE,O27=TRUE))</f>
        <v/>
      </c>
      <c r="Q27" s="16">
        <f>IF(A27="","",IFERROR(H27,0)+IFERROR(I27,0)+IFERROR(J27,0)+IFERROR(K27,0)+IFERROR(L27,0))</f>
        <v/>
      </c>
      <c r="R27" s="16">
        <f>IF(A27="","",IF(P27=TRUE,0,Q27))</f>
        <v/>
      </c>
      <c r="S27" s="16">
        <f>IF(A27="","",IF(P27=TRUE,0,IFERROR(H27,0)))</f>
        <v/>
      </c>
      <c r="T27" s="16">
        <f>IF(A27="","",IF(P27=TRUE,0,IFERROR(I27,0)))</f>
        <v/>
      </c>
      <c r="U27" s="16">
        <f>IF(A27="","",IF(P27=TRUE,0,IFERROR(J27,0)))</f>
        <v/>
      </c>
      <c r="V27" s="16">
        <f>IF(A27="","",IF(P27=TRUE,0,IFERROR(K27,0)))</f>
        <v/>
      </c>
      <c r="W27" s="16">
        <f>IF(A27="","",IF(P27=TRUE,0,IFERROR(L27,0)))</f>
        <v/>
      </c>
      <c r="X27" s="16">
        <f>IF(A27="","",IF(P27=TRUE,0,IFERROR(H27,0)+IFERROR(I27,0)+IFERROR(L27,0)))</f>
        <v/>
      </c>
      <c r="Y27" s="16">
        <f>IF(A27="",0,IF(G27=TRUE,IFERROR(H27,0)+IFERROR(I27,0)+IFERROR(J27,0)+IFERROR(K27,0)+IFERROR(L27,0),0))</f>
        <v/>
      </c>
      <c r="Z27" s="16">
        <f>IF(A27="",0,IF(AND(O27=TRUE,G27&lt;&gt;TRUE),IFERROR(H27,0)+IFERROR(I27,0)+IFERROR(J27,0)+IFERROR(K27,0)+IFERROR(L27,0),0))</f>
        <v/>
      </c>
    </row>
    <row r="28">
      <c r="A28" s="10" t="n"/>
      <c r="B28" s="10" t="n"/>
      <c r="C28" s="11" t="n"/>
      <c r="D28" s="11" t="n"/>
      <c r="E28" s="10" t="n"/>
      <c r="F28" s="10" t="n"/>
      <c r="G28" s="12" t="n"/>
      <c r="H28" s="13" t="n"/>
      <c r="I28" s="13" t="n"/>
      <c r="J28" s="13" t="n"/>
      <c r="K28" s="13" t="n"/>
      <c r="L28" s="13" t="n"/>
      <c r="M28" s="14">
        <f>IFERROR(IF(A28="","",IFERROR(VLOOKUP(A28,Raw_PriorMonth!A:E,5,FALSE),0)),0)</f>
        <v/>
      </c>
      <c r="N28" s="14">
        <f>IF(A28="","",IFERROR(E28,0)+IFERROR(M28,0))</f>
        <v/>
      </c>
      <c r="O28" s="15">
        <f>IF(A28="","",IF(N28&gt;=28,TRUE,FALSE))</f>
        <v/>
      </c>
      <c r="P28" s="15">
        <f>IF(A28="","",OR(G28=TRUE,O28=TRUE))</f>
        <v/>
      </c>
      <c r="Q28" s="16">
        <f>IF(A28="","",IFERROR(H28,0)+IFERROR(I28,0)+IFERROR(J28,0)+IFERROR(K28,0)+IFERROR(L28,0))</f>
        <v/>
      </c>
      <c r="R28" s="16">
        <f>IF(A28="","",IF(P28=TRUE,0,Q28))</f>
        <v/>
      </c>
      <c r="S28" s="16">
        <f>IF(A28="","",IF(P28=TRUE,0,IFERROR(H28,0)))</f>
        <v/>
      </c>
      <c r="T28" s="16">
        <f>IF(A28="","",IF(P28=TRUE,0,IFERROR(I28,0)))</f>
        <v/>
      </c>
      <c r="U28" s="16">
        <f>IF(A28="","",IF(P28=TRUE,0,IFERROR(J28,0)))</f>
        <v/>
      </c>
      <c r="V28" s="16">
        <f>IF(A28="","",IF(P28=TRUE,0,IFERROR(K28,0)))</f>
        <v/>
      </c>
      <c r="W28" s="16">
        <f>IF(A28="","",IF(P28=TRUE,0,IFERROR(L28,0)))</f>
        <v/>
      </c>
      <c r="X28" s="16">
        <f>IF(A28="","",IF(P28=TRUE,0,IFERROR(H28,0)+IFERROR(I28,0)+IFERROR(L28,0)))</f>
        <v/>
      </c>
      <c r="Y28" s="16">
        <f>IF(A28="",0,IF(G28=TRUE,IFERROR(H28,0)+IFERROR(I28,0)+IFERROR(J28,0)+IFERROR(K28,0)+IFERROR(L28,0),0))</f>
        <v/>
      </c>
      <c r="Z28" s="16">
        <f>IF(A28="",0,IF(AND(O28=TRUE,G28&lt;&gt;TRUE),IFERROR(H28,0)+IFERROR(I28,0)+IFERROR(J28,0)+IFERROR(K28,0)+IFERROR(L28,0),0))</f>
        <v/>
      </c>
    </row>
    <row r="29">
      <c r="A29" s="10" t="n"/>
      <c r="B29" s="10" t="n"/>
      <c r="C29" s="11" t="n"/>
      <c r="D29" s="11" t="n"/>
      <c r="E29" s="10" t="n"/>
      <c r="F29" s="10" t="n"/>
      <c r="G29" s="12" t="n"/>
      <c r="H29" s="13" t="n"/>
      <c r="I29" s="13" t="n"/>
      <c r="J29" s="13" t="n"/>
      <c r="K29" s="13" t="n"/>
      <c r="L29" s="13" t="n"/>
      <c r="M29" s="14">
        <f>IFERROR(IF(A29="","",IFERROR(VLOOKUP(A29,Raw_PriorMonth!A:E,5,FALSE),0)),0)</f>
        <v/>
      </c>
      <c r="N29" s="14">
        <f>IF(A29="","",IFERROR(E29,0)+IFERROR(M29,0))</f>
        <v/>
      </c>
      <c r="O29" s="15">
        <f>IF(A29="","",IF(N29&gt;=28,TRUE,FALSE))</f>
        <v/>
      </c>
      <c r="P29" s="15">
        <f>IF(A29="","",OR(G29=TRUE,O29=TRUE))</f>
        <v/>
      </c>
      <c r="Q29" s="16">
        <f>IF(A29="","",IFERROR(H29,0)+IFERROR(I29,0)+IFERROR(J29,0)+IFERROR(K29,0)+IFERROR(L29,0))</f>
        <v/>
      </c>
      <c r="R29" s="16">
        <f>IF(A29="","",IF(P29=TRUE,0,Q29))</f>
        <v/>
      </c>
      <c r="S29" s="16">
        <f>IF(A29="","",IF(P29=TRUE,0,IFERROR(H29,0)))</f>
        <v/>
      </c>
      <c r="T29" s="16">
        <f>IF(A29="","",IF(P29=TRUE,0,IFERROR(I29,0)))</f>
        <v/>
      </c>
      <c r="U29" s="16">
        <f>IF(A29="","",IF(P29=TRUE,0,IFERROR(J29,0)))</f>
        <v/>
      </c>
      <c r="V29" s="16">
        <f>IF(A29="","",IF(P29=TRUE,0,IFERROR(K29,0)))</f>
        <v/>
      </c>
      <c r="W29" s="16">
        <f>IF(A29="","",IF(P29=TRUE,0,IFERROR(L29,0)))</f>
        <v/>
      </c>
      <c r="X29" s="16">
        <f>IF(A29="","",IF(P29=TRUE,0,IFERROR(H29,0)+IFERROR(I29,0)+IFERROR(L29,0)))</f>
        <v/>
      </c>
      <c r="Y29" s="16">
        <f>IF(A29="",0,IF(G29=TRUE,IFERROR(H29,0)+IFERROR(I29,0)+IFERROR(J29,0)+IFERROR(K29,0)+IFERROR(L29,0),0))</f>
        <v/>
      </c>
      <c r="Z29" s="16">
        <f>IF(A29="",0,IF(AND(O29=TRUE,G29&lt;&gt;TRUE),IFERROR(H29,0)+IFERROR(I29,0)+IFERROR(J29,0)+IFERROR(K29,0)+IFERROR(L29,0),0))</f>
        <v/>
      </c>
    </row>
    <row r="30">
      <c r="A30" s="10" t="n"/>
      <c r="B30" s="10" t="n"/>
      <c r="C30" s="11" t="n"/>
      <c r="D30" s="11" t="n"/>
      <c r="E30" s="10" t="n"/>
      <c r="F30" s="10" t="n"/>
      <c r="G30" s="12" t="n"/>
      <c r="H30" s="13" t="n"/>
      <c r="I30" s="13" t="n"/>
      <c r="J30" s="13" t="n"/>
      <c r="K30" s="13" t="n"/>
      <c r="L30" s="13" t="n"/>
      <c r="M30" s="14">
        <f>IFERROR(IF(A30="","",IFERROR(VLOOKUP(A30,Raw_PriorMonth!A:E,5,FALSE),0)),0)</f>
        <v/>
      </c>
      <c r="N30" s="14">
        <f>IF(A30="","",IFERROR(E30,0)+IFERROR(M30,0))</f>
        <v/>
      </c>
      <c r="O30" s="15">
        <f>IF(A30="","",IF(N30&gt;=28,TRUE,FALSE))</f>
        <v/>
      </c>
      <c r="P30" s="15">
        <f>IF(A30="","",OR(G30=TRUE,O30=TRUE))</f>
        <v/>
      </c>
      <c r="Q30" s="16">
        <f>IF(A30="","",IFERROR(H30,0)+IFERROR(I30,0)+IFERROR(J30,0)+IFERROR(K30,0)+IFERROR(L30,0))</f>
        <v/>
      </c>
      <c r="R30" s="16">
        <f>IF(A30="","",IF(P30=TRUE,0,Q30))</f>
        <v/>
      </c>
      <c r="S30" s="16">
        <f>IF(A30="","",IF(P30=TRUE,0,IFERROR(H30,0)))</f>
        <v/>
      </c>
      <c r="T30" s="16">
        <f>IF(A30="","",IF(P30=TRUE,0,IFERROR(I30,0)))</f>
        <v/>
      </c>
      <c r="U30" s="16">
        <f>IF(A30="","",IF(P30=TRUE,0,IFERROR(J30,0)))</f>
        <v/>
      </c>
      <c r="V30" s="16">
        <f>IF(A30="","",IF(P30=TRUE,0,IFERROR(K30,0)))</f>
        <v/>
      </c>
      <c r="W30" s="16">
        <f>IF(A30="","",IF(P30=TRUE,0,IFERROR(L30,0)))</f>
        <v/>
      </c>
      <c r="X30" s="16">
        <f>IF(A30="","",IF(P30=TRUE,0,IFERROR(H30,0)+IFERROR(I30,0)+IFERROR(L30,0)))</f>
        <v/>
      </c>
      <c r="Y30" s="16">
        <f>IF(A30="",0,IF(G30=TRUE,IFERROR(H30,0)+IFERROR(I30,0)+IFERROR(J30,0)+IFERROR(K30,0)+IFERROR(L30,0),0))</f>
        <v/>
      </c>
      <c r="Z30" s="16">
        <f>IF(A30="",0,IF(AND(O30=TRUE,G30&lt;&gt;TRUE),IFERROR(H30,0)+IFERROR(I30,0)+IFERROR(J30,0)+IFERROR(K30,0)+IFERROR(L30,0),0))</f>
        <v/>
      </c>
    </row>
    <row r="31">
      <c r="A31" s="10" t="n"/>
      <c r="B31" s="10" t="n"/>
      <c r="C31" s="11" t="n"/>
      <c r="D31" s="11" t="n"/>
      <c r="E31" s="10" t="n"/>
      <c r="F31" s="10" t="n"/>
      <c r="G31" s="12" t="n"/>
      <c r="H31" s="13" t="n"/>
      <c r="I31" s="13" t="n"/>
      <c r="J31" s="13" t="n"/>
      <c r="K31" s="13" t="n"/>
      <c r="L31" s="13" t="n"/>
      <c r="M31" s="14">
        <f>IFERROR(IF(A31="","",IFERROR(VLOOKUP(A31,Raw_PriorMonth!A:E,5,FALSE),0)),0)</f>
        <v/>
      </c>
      <c r="N31" s="14">
        <f>IF(A31="","",IFERROR(E31,0)+IFERROR(M31,0))</f>
        <v/>
      </c>
      <c r="O31" s="15">
        <f>IF(A31="","",IF(N31&gt;=28,TRUE,FALSE))</f>
        <v/>
      </c>
      <c r="P31" s="15">
        <f>IF(A31="","",OR(G31=TRUE,O31=TRUE))</f>
        <v/>
      </c>
      <c r="Q31" s="16">
        <f>IF(A31="","",IFERROR(H31,0)+IFERROR(I31,0)+IFERROR(J31,0)+IFERROR(K31,0)+IFERROR(L31,0))</f>
        <v/>
      </c>
      <c r="R31" s="16">
        <f>IF(A31="","",IF(P31=TRUE,0,Q31))</f>
        <v/>
      </c>
      <c r="S31" s="16">
        <f>IF(A31="","",IF(P31=TRUE,0,IFERROR(H31,0)))</f>
        <v/>
      </c>
      <c r="T31" s="16">
        <f>IF(A31="","",IF(P31=TRUE,0,IFERROR(I31,0)))</f>
        <v/>
      </c>
      <c r="U31" s="16">
        <f>IF(A31="","",IF(P31=TRUE,0,IFERROR(J31,0)))</f>
        <v/>
      </c>
      <c r="V31" s="16">
        <f>IF(A31="","",IF(P31=TRUE,0,IFERROR(K31,0)))</f>
        <v/>
      </c>
      <c r="W31" s="16">
        <f>IF(A31="","",IF(P31=TRUE,0,IFERROR(L31,0)))</f>
        <v/>
      </c>
      <c r="X31" s="16">
        <f>IF(A31="","",IF(P31=TRUE,0,IFERROR(H31,0)+IFERROR(I31,0)+IFERROR(L31,0)))</f>
        <v/>
      </c>
      <c r="Y31" s="16">
        <f>IF(A31="",0,IF(G31=TRUE,IFERROR(H31,0)+IFERROR(I31,0)+IFERROR(J31,0)+IFERROR(K31,0)+IFERROR(L31,0),0))</f>
        <v/>
      </c>
      <c r="Z31" s="16">
        <f>IF(A31="",0,IF(AND(O31=TRUE,G31&lt;&gt;TRUE),IFERROR(H31,0)+IFERROR(I31,0)+IFERROR(J31,0)+IFERROR(K31,0)+IFERROR(L31,0),0))</f>
        <v/>
      </c>
    </row>
    <row r="32">
      <c r="A32" s="10" t="n"/>
      <c r="B32" s="10" t="n"/>
      <c r="C32" s="11" t="n"/>
      <c r="D32" s="11" t="n"/>
      <c r="E32" s="10" t="n"/>
      <c r="F32" s="10" t="n"/>
      <c r="G32" s="12" t="n"/>
      <c r="H32" s="13" t="n"/>
      <c r="I32" s="13" t="n"/>
      <c r="J32" s="13" t="n"/>
      <c r="K32" s="13" t="n"/>
      <c r="L32" s="13" t="n"/>
      <c r="M32" s="14">
        <f>IFERROR(IF(A32="","",IFERROR(VLOOKUP(A32,Raw_PriorMonth!A:E,5,FALSE),0)),0)</f>
        <v/>
      </c>
      <c r="N32" s="14">
        <f>IF(A32="","",IFERROR(E32,0)+IFERROR(M32,0))</f>
        <v/>
      </c>
      <c r="O32" s="15">
        <f>IF(A32="","",IF(N32&gt;=28,TRUE,FALSE))</f>
        <v/>
      </c>
      <c r="P32" s="15">
        <f>IF(A32="","",OR(G32=TRUE,O32=TRUE))</f>
        <v/>
      </c>
      <c r="Q32" s="16">
        <f>IF(A32="","",IFERROR(H32,0)+IFERROR(I32,0)+IFERROR(J32,0)+IFERROR(K32,0)+IFERROR(L32,0))</f>
        <v/>
      </c>
      <c r="R32" s="16">
        <f>IF(A32="","",IF(P32=TRUE,0,Q32))</f>
        <v/>
      </c>
      <c r="S32" s="16">
        <f>IF(A32="","",IF(P32=TRUE,0,IFERROR(H32,0)))</f>
        <v/>
      </c>
      <c r="T32" s="16">
        <f>IF(A32="","",IF(P32=TRUE,0,IFERROR(I32,0)))</f>
        <v/>
      </c>
      <c r="U32" s="16">
        <f>IF(A32="","",IF(P32=TRUE,0,IFERROR(J32,0)))</f>
        <v/>
      </c>
      <c r="V32" s="16">
        <f>IF(A32="","",IF(P32=TRUE,0,IFERROR(K32,0)))</f>
        <v/>
      </c>
      <c r="W32" s="16">
        <f>IF(A32="","",IF(P32=TRUE,0,IFERROR(L32,0)))</f>
        <v/>
      </c>
      <c r="X32" s="16">
        <f>IF(A32="","",IF(P32=TRUE,0,IFERROR(H32,0)+IFERROR(I32,0)+IFERROR(L32,0)))</f>
        <v/>
      </c>
      <c r="Y32" s="16">
        <f>IF(A32="",0,IF(G32=TRUE,IFERROR(H32,0)+IFERROR(I32,0)+IFERROR(J32,0)+IFERROR(K32,0)+IFERROR(L32,0),0))</f>
        <v/>
      </c>
      <c r="Z32" s="16">
        <f>IF(A32="",0,IF(AND(O32=TRUE,G32&lt;&gt;TRUE),IFERROR(H32,0)+IFERROR(I32,0)+IFERROR(J32,0)+IFERROR(K32,0)+IFERROR(L32,0),0))</f>
        <v/>
      </c>
    </row>
    <row r="33">
      <c r="A33" s="10" t="n"/>
      <c r="B33" s="10" t="n"/>
      <c r="C33" s="11" t="n"/>
      <c r="D33" s="11" t="n"/>
      <c r="E33" s="10" t="n"/>
      <c r="F33" s="10" t="n"/>
      <c r="G33" s="12" t="n"/>
      <c r="H33" s="13" t="n"/>
      <c r="I33" s="13" t="n"/>
      <c r="J33" s="13" t="n"/>
      <c r="K33" s="13" t="n"/>
      <c r="L33" s="13" t="n"/>
      <c r="M33" s="14">
        <f>IFERROR(IF(A33="","",IFERROR(VLOOKUP(A33,Raw_PriorMonth!A:E,5,FALSE),0)),0)</f>
        <v/>
      </c>
      <c r="N33" s="14">
        <f>IF(A33="","",IFERROR(E33,0)+IFERROR(M33,0))</f>
        <v/>
      </c>
      <c r="O33" s="15">
        <f>IF(A33="","",IF(N33&gt;=28,TRUE,FALSE))</f>
        <v/>
      </c>
      <c r="P33" s="15">
        <f>IF(A33="","",OR(G33=TRUE,O33=TRUE))</f>
        <v/>
      </c>
      <c r="Q33" s="16">
        <f>IF(A33="","",IFERROR(H33,0)+IFERROR(I33,0)+IFERROR(J33,0)+IFERROR(K33,0)+IFERROR(L33,0))</f>
        <v/>
      </c>
      <c r="R33" s="16">
        <f>IF(A33="","",IF(P33=TRUE,0,Q33))</f>
        <v/>
      </c>
      <c r="S33" s="16">
        <f>IF(A33="","",IF(P33=TRUE,0,IFERROR(H33,0)))</f>
        <v/>
      </c>
      <c r="T33" s="16">
        <f>IF(A33="","",IF(P33=TRUE,0,IFERROR(I33,0)))</f>
        <v/>
      </c>
      <c r="U33" s="16">
        <f>IF(A33="","",IF(P33=TRUE,0,IFERROR(J33,0)))</f>
        <v/>
      </c>
      <c r="V33" s="16">
        <f>IF(A33="","",IF(P33=TRUE,0,IFERROR(K33,0)))</f>
        <v/>
      </c>
      <c r="W33" s="16">
        <f>IF(A33="","",IF(P33=TRUE,0,IFERROR(L33,0)))</f>
        <v/>
      </c>
      <c r="X33" s="16">
        <f>IF(A33="","",IF(P33=TRUE,0,IFERROR(H33,0)+IFERROR(I33,0)+IFERROR(L33,0)))</f>
        <v/>
      </c>
      <c r="Y33" s="16">
        <f>IF(A33="",0,IF(G33=TRUE,IFERROR(H33,0)+IFERROR(I33,0)+IFERROR(J33,0)+IFERROR(K33,0)+IFERROR(L33,0),0))</f>
        <v/>
      </c>
      <c r="Z33" s="16">
        <f>IF(A33="",0,IF(AND(O33=TRUE,G33&lt;&gt;TRUE),IFERROR(H33,0)+IFERROR(I33,0)+IFERROR(J33,0)+IFERROR(K33,0)+IFERROR(L33,0),0))</f>
        <v/>
      </c>
    </row>
    <row r="34">
      <c r="A34" s="10" t="n"/>
      <c r="B34" s="10" t="n"/>
      <c r="C34" s="11" t="n"/>
      <c r="D34" s="11" t="n"/>
      <c r="E34" s="10" t="n"/>
      <c r="F34" s="10" t="n"/>
      <c r="G34" s="12" t="n"/>
      <c r="H34" s="13" t="n"/>
      <c r="I34" s="13" t="n"/>
      <c r="J34" s="13" t="n"/>
      <c r="K34" s="13" t="n"/>
      <c r="L34" s="13" t="n"/>
      <c r="M34" s="14">
        <f>IFERROR(IF(A34="","",IFERROR(VLOOKUP(A34,Raw_PriorMonth!A:E,5,FALSE),0)),0)</f>
        <v/>
      </c>
      <c r="N34" s="14">
        <f>IF(A34="","",IFERROR(E34,0)+IFERROR(M34,0))</f>
        <v/>
      </c>
      <c r="O34" s="15">
        <f>IF(A34="","",IF(N34&gt;=28,TRUE,FALSE))</f>
        <v/>
      </c>
      <c r="P34" s="15">
        <f>IF(A34="","",OR(G34=TRUE,O34=TRUE))</f>
        <v/>
      </c>
      <c r="Q34" s="16">
        <f>IF(A34="","",IFERROR(H34,0)+IFERROR(I34,0)+IFERROR(J34,0)+IFERROR(K34,0)+IFERROR(L34,0))</f>
        <v/>
      </c>
      <c r="R34" s="16">
        <f>IF(A34="","",IF(P34=TRUE,0,Q34))</f>
        <v/>
      </c>
      <c r="S34" s="16">
        <f>IF(A34="","",IF(P34=TRUE,0,IFERROR(H34,0)))</f>
        <v/>
      </c>
      <c r="T34" s="16">
        <f>IF(A34="","",IF(P34=TRUE,0,IFERROR(I34,0)))</f>
        <v/>
      </c>
      <c r="U34" s="16">
        <f>IF(A34="","",IF(P34=TRUE,0,IFERROR(J34,0)))</f>
        <v/>
      </c>
      <c r="V34" s="16">
        <f>IF(A34="","",IF(P34=TRUE,0,IFERROR(K34,0)))</f>
        <v/>
      </c>
      <c r="W34" s="16">
        <f>IF(A34="","",IF(P34=TRUE,0,IFERROR(L34,0)))</f>
        <v/>
      </c>
      <c r="X34" s="16">
        <f>IF(A34="","",IF(P34=TRUE,0,IFERROR(H34,0)+IFERROR(I34,0)+IFERROR(L34,0)))</f>
        <v/>
      </c>
      <c r="Y34" s="16">
        <f>IF(A34="",0,IF(G34=TRUE,IFERROR(H34,0)+IFERROR(I34,0)+IFERROR(J34,0)+IFERROR(K34,0)+IFERROR(L34,0),0))</f>
        <v/>
      </c>
      <c r="Z34" s="16">
        <f>IF(A34="",0,IF(AND(O34=TRUE,G34&lt;&gt;TRUE),IFERROR(H34,0)+IFERROR(I34,0)+IFERROR(J34,0)+IFERROR(K34,0)+IFERROR(L34,0),0))</f>
        <v/>
      </c>
    </row>
    <row r="35">
      <c r="A35" s="10" t="n"/>
      <c r="B35" s="10" t="n"/>
      <c r="C35" s="11" t="n"/>
      <c r="D35" s="11" t="n"/>
      <c r="E35" s="10" t="n"/>
      <c r="F35" s="10" t="n"/>
      <c r="G35" s="12" t="n"/>
      <c r="H35" s="13" t="n"/>
      <c r="I35" s="13" t="n"/>
      <c r="J35" s="13" t="n"/>
      <c r="K35" s="13" t="n"/>
      <c r="L35" s="13" t="n"/>
      <c r="M35" s="14">
        <f>IFERROR(IF(A35="","",IFERROR(VLOOKUP(A35,Raw_PriorMonth!A:E,5,FALSE),0)),0)</f>
        <v/>
      </c>
      <c r="N35" s="14">
        <f>IF(A35="","",IFERROR(E35,0)+IFERROR(M35,0))</f>
        <v/>
      </c>
      <c r="O35" s="15">
        <f>IF(A35="","",IF(N35&gt;=28,TRUE,FALSE))</f>
        <v/>
      </c>
      <c r="P35" s="15">
        <f>IF(A35="","",OR(G35=TRUE,O35=TRUE))</f>
        <v/>
      </c>
      <c r="Q35" s="16">
        <f>IF(A35="","",IFERROR(H35,0)+IFERROR(I35,0)+IFERROR(J35,0)+IFERROR(K35,0)+IFERROR(L35,0))</f>
        <v/>
      </c>
      <c r="R35" s="16">
        <f>IF(A35="","",IF(P35=TRUE,0,Q35))</f>
        <v/>
      </c>
      <c r="S35" s="16">
        <f>IF(A35="","",IF(P35=TRUE,0,IFERROR(H35,0)))</f>
        <v/>
      </c>
      <c r="T35" s="16">
        <f>IF(A35="","",IF(P35=TRUE,0,IFERROR(I35,0)))</f>
        <v/>
      </c>
      <c r="U35" s="16">
        <f>IF(A35="","",IF(P35=TRUE,0,IFERROR(J35,0)))</f>
        <v/>
      </c>
      <c r="V35" s="16">
        <f>IF(A35="","",IF(P35=TRUE,0,IFERROR(K35,0)))</f>
        <v/>
      </c>
      <c r="W35" s="16">
        <f>IF(A35="","",IF(P35=TRUE,0,IFERROR(L35,0)))</f>
        <v/>
      </c>
      <c r="X35" s="16">
        <f>IF(A35="","",IF(P35=TRUE,0,IFERROR(H35,0)+IFERROR(I35,0)+IFERROR(L35,0)))</f>
        <v/>
      </c>
      <c r="Y35" s="16">
        <f>IF(A35="",0,IF(G35=TRUE,IFERROR(H35,0)+IFERROR(I35,0)+IFERROR(J35,0)+IFERROR(K35,0)+IFERROR(L35,0),0))</f>
        <v/>
      </c>
      <c r="Z35" s="16">
        <f>IF(A35="",0,IF(AND(O35=TRUE,G35&lt;&gt;TRUE),IFERROR(H35,0)+IFERROR(I35,0)+IFERROR(J35,0)+IFERROR(K35,0)+IFERROR(L35,0),0))</f>
        <v/>
      </c>
    </row>
    <row r="36">
      <c r="A36" s="10" t="n"/>
      <c r="B36" s="10" t="n"/>
      <c r="C36" s="11" t="n"/>
      <c r="D36" s="11" t="n"/>
      <c r="E36" s="10" t="n"/>
      <c r="F36" s="10" t="n"/>
      <c r="G36" s="12" t="n"/>
      <c r="H36" s="13" t="n"/>
      <c r="I36" s="13" t="n"/>
      <c r="J36" s="13" t="n"/>
      <c r="K36" s="13" t="n"/>
      <c r="L36" s="13" t="n"/>
      <c r="M36" s="14">
        <f>IFERROR(IF(A36="","",IFERROR(VLOOKUP(A36,Raw_PriorMonth!A:E,5,FALSE),0)),0)</f>
        <v/>
      </c>
      <c r="N36" s="14">
        <f>IF(A36="","",IFERROR(E36,0)+IFERROR(M36,0))</f>
        <v/>
      </c>
      <c r="O36" s="15">
        <f>IF(A36="","",IF(N36&gt;=28,TRUE,FALSE))</f>
        <v/>
      </c>
      <c r="P36" s="15">
        <f>IF(A36="","",OR(G36=TRUE,O36=TRUE))</f>
        <v/>
      </c>
      <c r="Q36" s="16">
        <f>IF(A36="","",IFERROR(H36,0)+IFERROR(I36,0)+IFERROR(J36,0)+IFERROR(K36,0)+IFERROR(L36,0))</f>
        <v/>
      </c>
      <c r="R36" s="16">
        <f>IF(A36="","",IF(P36=TRUE,0,Q36))</f>
        <v/>
      </c>
      <c r="S36" s="16">
        <f>IF(A36="","",IF(P36=TRUE,0,IFERROR(H36,0)))</f>
        <v/>
      </c>
      <c r="T36" s="16">
        <f>IF(A36="","",IF(P36=TRUE,0,IFERROR(I36,0)))</f>
        <v/>
      </c>
      <c r="U36" s="16">
        <f>IF(A36="","",IF(P36=TRUE,0,IFERROR(J36,0)))</f>
        <v/>
      </c>
      <c r="V36" s="16">
        <f>IF(A36="","",IF(P36=TRUE,0,IFERROR(K36,0)))</f>
        <v/>
      </c>
      <c r="W36" s="16">
        <f>IF(A36="","",IF(P36=TRUE,0,IFERROR(L36,0)))</f>
        <v/>
      </c>
      <c r="X36" s="16">
        <f>IF(A36="","",IF(P36=TRUE,0,IFERROR(H36,0)+IFERROR(I36,0)+IFERROR(L36,0)))</f>
        <v/>
      </c>
      <c r="Y36" s="16">
        <f>IF(A36="",0,IF(G36=TRUE,IFERROR(H36,0)+IFERROR(I36,0)+IFERROR(J36,0)+IFERROR(K36,0)+IFERROR(L36,0),0))</f>
        <v/>
      </c>
      <c r="Z36" s="16">
        <f>IF(A36="",0,IF(AND(O36=TRUE,G36&lt;&gt;TRUE),IFERROR(H36,0)+IFERROR(I36,0)+IFERROR(J36,0)+IFERROR(K36,0)+IFERROR(L36,0),0))</f>
        <v/>
      </c>
    </row>
    <row r="37">
      <c r="A37" s="10" t="n"/>
      <c r="B37" s="10" t="n"/>
      <c r="C37" s="11" t="n"/>
      <c r="D37" s="11" t="n"/>
      <c r="E37" s="10" t="n"/>
      <c r="F37" s="10" t="n"/>
      <c r="G37" s="12" t="n"/>
      <c r="H37" s="13" t="n"/>
      <c r="I37" s="13" t="n"/>
      <c r="J37" s="13" t="n"/>
      <c r="K37" s="13" t="n"/>
      <c r="L37" s="13" t="n"/>
      <c r="M37" s="14">
        <f>IFERROR(IF(A37="","",IFERROR(VLOOKUP(A37,Raw_PriorMonth!A:E,5,FALSE),0)),0)</f>
        <v/>
      </c>
      <c r="N37" s="14">
        <f>IF(A37="","",IFERROR(E37,0)+IFERROR(M37,0))</f>
        <v/>
      </c>
      <c r="O37" s="15">
        <f>IF(A37="","",IF(N37&gt;=28,TRUE,FALSE))</f>
        <v/>
      </c>
      <c r="P37" s="15">
        <f>IF(A37="","",OR(G37=TRUE,O37=TRUE))</f>
        <v/>
      </c>
      <c r="Q37" s="16">
        <f>IF(A37="","",IFERROR(H37,0)+IFERROR(I37,0)+IFERROR(J37,0)+IFERROR(K37,0)+IFERROR(L37,0))</f>
        <v/>
      </c>
      <c r="R37" s="16">
        <f>IF(A37="","",IF(P37=TRUE,0,Q37))</f>
        <v/>
      </c>
      <c r="S37" s="16">
        <f>IF(A37="","",IF(P37=TRUE,0,IFERROR(H37,0)))</f>
        <v/>
      </c>
      <c r="T37" s="16">
        <f>IF(A37="","",IF(P37=TRUE,0,IFERROR(I37,0)))</f>
        <v/>
      </c>
      <c r="U37" s="16">
        <f>IF(A37="","",IF(P37=TRUE,0,IFERROR(J37,0)))</f>
        <v/>
      </c>
      <c r="V37" s="16">
        <f>IF(A37="","",IF(P37=TRUE,0,IFERROR(K37,0)))</f>
        <v/>
      </c>
      <c r="W37" s="16">
        <f>IF(A37="","",IF(P37=TRUE,0,IFERROR(L37,0)))</f>
        <v/>
      </c>
      <c r="X37" s="16">
        <f>IF(A37="","",IF(P37=TRUE,0,IFERROR(H37,0)+IFERROR(I37,0)+IFERROR(L37,0)))</f>
        <v/>
      </c>
      <c r="Y37" s="16">
        <f>IF(A37="",0,IF(G37=TRUE,IFERROR(H37,0)+IFERROR(I37,0)+IFERROR(J37,0)+IFERROR(K37,0)+IFERROR(L37,0),0))</f>
        <v/>
      </c>
      <c r="Z37" s="16">
        <f>IF(A37="",0,IF(AND(O37=TRUE,G37&lt;&gt;TRUE),IFERROR(H37,0)+IFERROR(I37,0)+IFERROR(J37,0)+IFERROR(K37,0)+IFERROR(L37,0),0))</f>
        <v/>
      </c>
    </row>
    <row r="38">
      <c r="A38" s="10" t="n"/>
      <c r="B38" s="10" t="n"/>
      <c r="C38" s="11" t="n"/>
      <c r="D38" s="11" t="n"/>
      <c r="E38" s="10" t="n"/>
      <c r="F38" s="10" t="n"/>
      <c r="G38" s="12" t="n"/>
      <c r="H38" s="13" t="n"/>
      <c r="I38" s="13" t="n"/>
      <c r="J38" s="13" t="n"/>
      <c r="K38" s="13" t="n"/>
      <c r="L38" s="13" t="n"/>
      <c r="M38" s="14">
        <f>IFERROR(IF(A38="","",IFERROR(VLOOKUP(A38,Raw_PriorMonth!A:E,5,FALSE),0)),0)</f>
        <v/>
      </c>
      <c r="N38" s="14">
        <f>IF(A38="","",IFERROR(E38,0)+IFERROR(M38,0))</f>
        <v/>
      </c>
      <c r="O38" s="15">
        <f>IF(A38="","",IF(N38&gt;=28,TRUE,FALSE))</f>
        <v/>
      </c>
      <c r="P38" s="15">
        <f>IF(A38="","",OR(G38=TRUE,O38=TRUE))</f>
        <v/>
      </c>
      <c r="Q38" s="16">
        <f>IF(A38="","",IFERROR(H38,0)+IFERROR(I38,0)+IFERROR(J38,0)+IFERROR(K38,0)+IFERROR(L38,0))</f>
        <v/>
      </c>
      <c r="R38" s="16">
        <f>IF(A38="","",IF(P38=TRUE,0,Q38))</f>
        <v/>
      </c>
      <c r="S38" s="16">
        <f>IF(A38="","",IF(P38=TRUE,0,IFERROR(H38,0)))</f>
        <v/>
      </c>
      <c r="T38" s="16">
        <f>IF(A38="","",IF(P38=TRUE,0,IFERROR(I38,0)))</f>
        <v/>
      </c>
      <c r="U38" s="16">
        <f>IF(A38="","",IF(P38=TRUE,0,IFERROR(J38,0)))</f>
        <v/>
      </c>
      <c r="V38" s="16">
        <f>IF(A38="","",IF(P38=TRUE,0,IFERROR(K38,0)))</f>
        <v/>
      </c>
      <c r="W38" s="16">
        <f>IF(A38="","",IF(P38=TRUE,0,IFERROR(L38,0)))</f>
        <v/>
      </c>
      <c r="X38" s="16">
        <f>IF(A38="","",IF(P38=TRUE,0,IFERROR(H38,0)+IFERROR(I38,0)+IFERROR(L38,0)))</f>
        <v/>
      </c>
      <c r="Y38" s="16">
        <f>IF(A38="",0,IF(G38=TRUE,IFERROR(H38,0)+IFERROR(I38,0)+IFERROR(J38,0)+IFERROR(K38,0)+IFERROR(L38,0),0))</f>
        <v/>
      </c>
      <c r="Z38" s="16">
        <f>IF(A38="",0,IF(AND(O38=TRUE,G38&lt;&gt;TRUE),IFERROR(H38,0)+IFERROR(I38,0)+IFERROR(J38,0)+IFERROR(K38,0)+IFERROR(L38,0),0))</f>
        <v/>
      </c>
    </row>
    <row r="39">
      <c r="A39" s="10" t="n"/>
      <c r="B39" s="10" t="n"/>
      <c r="C39" s="11" t="n"/>
      <c r="D39" s="11" t="n"/>
      <c r="E39" s="10" t="n"/>
      <c r="F39" s="10" t="n"/>
      <c r="G39" s="12" t="n"/>
      <c r="H39" s="13" t="n"/>
      <c r="I39" s="13" t="n"/>
      <c r="J39" s="13" t="n"/>
      <c r="K39" s="13" t="n"/>
      <c r="L39" s="13" t="n"/>
      <c r="M39" s="14">
        <f>IFERROR(IF(A39="","",IFERROR(VLOOKUP(A39,Raw_PriorMonth!A:E,5,FALSE),0)),0)</f>
        <v/>
      </c>
      <c r="N39" s="14">
        <f>IF(A39="","",IFERROR(E39,0)+IFERROR(M39,0))</f>
        <v/>
      </c>
      <c r="O39" s="15">
        <f>IF(A39="","",IF(N39&gt;=28,TRUE,FALSE))</f>
        <v/>
      </c>
      <c r="P39" s="15">
        <f>IF(A39="","",OR(G39=TRUE,O39=TRUE))</f>
        <v/>
      </c>
      <c r="Q39" s="16">
        <f>IF(A39="","",IFERROR(H39,0)+IFERROR(I39,0)+IFERROR(J39,0)+IFERROR(K39,0)+IFERROR(L39,0))</f>
        <v/>
      </c>
      <c r="R39" s="16">
        <f>IF(A39="","",IF(P39=TRUE,0,Q39))</f>
        <v/>
      </c>
      <c r="S39" s="16">
        <f>IF(A39="","",IF(P39=TRUE,0,IFERROR(H39,0)))</f>
        <v/>
      </c>
      <c r="T39" s="16">
        <f>IF(A39="","",IF(P39=TRUE,0,IFERROR(I39,0)))</f>
        <v/>
      </c>
      <c r="U39" s="16">
        <f>IF(A39="","",IF(P39=TRUE,0,IFERROR(J39,0)))</f>
        <v/>
      </c>
      <c r="V39" s="16">
        <f>IF(A39="","",IF(P39=TRUE,0,IFERROR(K39,0)))</f>
        <v/>
      </c>
      <c r="W39" s="16">
        <f>IF(A39="","",IF(P39=TRUE,0,IFERROR(L39,0)))</f>
        <v/>
      </c>
      <c r="X39" s="16">
        <f>IF(A39="","",IF(P39=TRUE,0,IFERROR(H39,0)+IFERROR(I39,0)+IFERROR(L39,0)))</f>
        <v/>
      </c>
      <c r="Y39" s="16">
        <f>IF(A39="",0,IF(G39=TRUE,IFERROR(H39,0)+IFERROR(I39,0)+IFERROR(J39,0)+IFERROR(K39,0)+IFERROR(L39,0),0))</f>
        <v/>
      </c>
      <c r="Z39" s="16">
        <f>IF(A39="",0,IF(AND(O39=TRUE,G39&lt;&gt;TRUE),IFERROR(H39,0)+IFERROR(I39,0)+IFERROR(J39,0)+IFERROR(K39,0)+IFERROR(L39,0),0))</f>
        <v/>
      </c>
    </row>
    <row r="40">
      <c r="A40" s="10" t="n"/>
      <c r="B40" s="10" t="n"/>
      <c r="C40" s="11" t="n"/>
      <c r="D40" s="11" t="n"/>
      <c r="E40" s="10" t="n"/>
      <c r="F40" s="10" t="n"/>
      <c r="G40" s="12" t="n"/>
      <c r="H40" s="13" t="n"/>
      <c r="I40" s="13" t="n"/>
      <c r="J40" s="13" t="n"/>
      <c r="K40" s="13" t="n"/>
      <c r="L40" s="13" t="n"/>
      <c r="M40" s="14">
        <f>IFERROR(IF(A40="","",IFERROR(VLOOKUP(A40,Raw_PriorMonth!A:E,5,FALSE),0)),0)</f>
        <v/>
      </c>
      <c r="N40" s="14">
        <f>IF(A40="","",IFERROR(E40,0)+IFERROR(M40,0))</f>
        <v/>
      </c>
      <c r="O40" s="15">
        <f>IF(A40="","",IF(N40&gt;=28,TRUE,FALSE))</f>
        <v/>
      </c>
      <c r="P40" s="15">
        <f>IF(A40="","",OR(G40=TRUE,O40=TRUE))</f>
        <v/>
      </c>
      <c r="Q40" s="16">
        <f>IF(A40="","",IFERROR(H40,0)+IFERROR(I40,0)+IFERROR(J40,0)+IFERROR(K40,0)+IFERROR(L40,0))</f>
        <v/>
      </c>
      <c r="R40" s="16">
        <f>IF(A40="","",IF(P40=TRUE,0,Q40))</f>
        <v/>
      </c>
      <c r="S40" s="16">
        <f>IF(A40="","",IF(P40=TRUE,0,IFERROR(H40,0)))</f>
        <v/>
      </c>
      <c r="T40" s="16">
        <f>IF(A40="","",IF(P40=TRUE,0,IFERROR(I40,0)))</f>
        <v/>
      </c>
      <c r="U40" s="16">
        <f>IF(A40="","",IF(P40=TRUE,0,IFERROR(J40,0)))</f>
        <v/>
      </c>
      <c r="V40" s="16">
        <f>IF(A40="","",IF(P40=TRUE,0,IFERROR(K40,0)))</f>
        <v/>
      </c>
      <c r="W40" s="16">
        <f>IF(A40="","",IF(P40=TRUE,0,IFERROR(L40,0)))</f>
        <v/>
      </c>
      <c r="X40" s="16">
        <f>IF(A40="","",IF(P40=TRUE,0,IFERROR(H40,0)+IFERROR(I40,0)+IFERROR(L40,0)))</f>
        <v/>
      </c>
      <c r="Y40" s="16">
        <f>IF(A40="",0,IF(G40=TRUE,IFERROR(H40,0)+IFERROR(I40,0)+IFERROR(J40,0)+IFERROR(K40,0)+IFERROR(L40,0),0))</f>
        <v/>
      </c>
      <c r="Z40" s="16">
        <f>IF(A40="",0,IF(AND(O40=TRUE,G40&lt;&gt;TRUE),IFERROR(H40,0)+IFERROR(I40,0)+IFERROR(J40,0)+IFERROR(K40,0)+IFERROR(L40,0),0))</f>
        <v/>
      </c>
    </row>
    <row r="41">
      <c r="A41" s="10" t="n"/>
      <c r="B41" s="10" t="n"/>
      <c r="C41" s="11" t="n"/>
      <c r="D41" s="11" t="n"/>
      <c r="E41" s="10" t="n"/>
      <c r="F41" s="10" t="n"/>
      <c r="G41" s="12" t="n"/>
      <c r="H41" s="13" t="n"/>
      <c r="I41" s="13" t="n"/>
      <c r="J41" s="13" t="n"/>
      <c r="K41" s="13" t="n"/>
      <c r="L41" s="13" t="n"/>
      <c r="M41" s="14">
        <f>IFERROR(IF(A41="","",IFERROR(VLOOKUP(A41,Raw_PriorMonth!A:E,5,FALSE),0)),0)</f>
        <v/>
      </c>
      <c r="N41" s="14">
        <f>IF(A41="","",IFERROR(E41,0)+IFERROR(M41,0))</f>
        <v/>
      </c>
      <c r="O41" s="15">
        <f>IF(A41="","",IF(N41&gt;=28,TRUE,FALSE))</f>
        <v/>
      </c>
      <c r="P41" s="15">
        <f>IF(A41="","",OR(G41=TRUE,O41=TRUE))</f>
        <v/>
      </c>
      <c r="Q41" s="16">
        <f>IF(A41="","",IFERROR(H41,0)+IFERROR(I41,0)+IFERROR(J41,0)+IFERROR(K41,0)+IFERROR(L41,0))</f>
        <v/>
      </c>
      <c r="R41" s="16">
        <f>IF(A41="","",IF(P41=TRUE,0,Q41))</f>
        <v/>
      </c>
      <c r="S41" s="16">
        <f>IF(A41="","",IF(P41=TRUE,0,IFERROR(H41,0)))</f>
        <v/>
      </c>
      <c r="T41" s="16">
        <f>IF(A41="","",IF(P41=TRUE,0,IFERROR(I41,0)))</f>
        <v/>
      </c>
      <c r="U41" s="16">
        <f>IF(A41="","",IF(P41=TRUE,0,IFERROR(J41,0)))</f>
        <v/>
      </c>
      <c r="V41" s="16">
        <f>IF(A41="","",IF(P41=TRUE,0,IFERROR(K41,0)))</f>
        <v/>
      </c>
      <c r="W41" s="16">
        <f>IF(A41="","",IF(P41=TRUE,0,IFERROR(L41,0)))</f>
        <v/>
      </c>
      <c r="X41" s="16">
        <f>IF(A41="","",IF(P41=TRUE,0,IFERROR(H41,0)+IFERROR(I41,0)+IFERROR(L41,0)))</f>
        <v/>
      </c>
      <c r="Y41" s="16">
        <f>IF(A41="",0,IF(G41=TRUE,IFERROR(H41,0)+IFERROR(I41,0)+IFERROR(J41,0)+IFERROR(K41,0)+IFERROR(L41,0),0))</f>
        <v/>
      </c>
      <c r="Z41" s="16">
        <f>IF(A41="",0,IF(AND(O41=TRUE,G41&lt;&gt;TRUE),IFERROR(H41,0)+IFERROR(I41,0)+IFERROR(J41,0)+IFERROR(K41,0)+IFERROR(L41,0),0))</f>
        <v/>
      </c>
    </row>
    <row r="42">
      <c r="A42" s="10" t="n"/>
      <c r="B42" s="10" t="n"/>
      <c r="C42" s="11" t="n"/>
      <c r="D42" s="11" t="n"/>
      <c r="E42" s="10" t="n"/>
      <c r="F42" s="10" t="n"/>
      <c r="G42" s="12" t="n"/>
      <c r="H42" s="13" t="n"/>
      <c r="I42" s="13" t="n"/>
      <c r="J42" s="13" t="n"/>
      <c r="K42" s="13" t="n"/>
      <c r="L42" s="13" t="n"/>
      <c r="M42" s="14">
        <f>IFERROR(IF(A42="","",IFERROR(VLOOKUP(A42,Raw_PriorMonth!A:E,5,FALSE),0)),0)</f>
        <v/>
      </c>
      <c r="N42" s="14">
        <f>IF(A42="","",IFERROR(E42,0)+IFERROR(M42,0))</f>
        <v/>
      </c>
      <c r="O42" s="15">
        <f>IF(A42="","",IF(N42&gt;=28,TRUE,FALSE))</f>
        <v/>
      </c>
      <c r="P42" s="15">
        <f>IF(A42="","",OR(G42=TRUE,O42=TRUE))</f>
        <v/>
      </c>
      <c r="Q42" s="16">
        <f>IF(A42="","",IFERROR(H42,0)+IFERROR(I42,0)+IFERROR(J42,0)+IFERROR(K42,0)+IFERROR(L42,0))</f>
        <v/>
      </c>
      <c r="R42" s="16">
        <f>IF(A42="","",IF(P42=TRUE,0,Q42))</f>
        <v/>
      </c>
      <c r="S42" s="16">
        <f>IF(A42="","",IF(P42=TRUE,0,IFERROR(H42,0)))</f>
        <v/>
      </c>
      <c r="T42" s="16">
        <f>IF(A42="","",IF(P42=TRUE,0,IFERROR(I42,0)))</f>
        <v/>
      </c>
      <c r="U42" s="16">
        <f>IF(A42="","",IF(P42=TRUE,0,IFERROR(J42,0)))</f>
        <v/>
      </c>
      <c r="V42" s="16">
        <f>IF(A42="","",IF(P42=TRUE,0,IFERROR(K42,0)))</f>
        <v/>
      </c>
      <c r="W42" s="16">
        <f>IF(A42="","",IF(P42=TRUE,0,IFERROR(L42,0)))</f>
        <v/>
      </c>
      <c r="X42" s="16">
        <f>IF(A42="","",IF(P42=TRUE,0,IFERROR(H42,0)+IFERROR(I42,0)+IFERROR(L42,0)))</f>
        <v/>
      </c>
      <c r="Y42" s="16">
        <f>IF(A42="",0,IF(G42=TRUE,IFERROR(H42,0)+IFERROR(I42,0)+IFERROR(J42,0)+IFERROR(K42,0)+IFERROR(L42,0),0))</f>
        <v/>
      </c>
      <c r="Z42" s="16">
        <f>IF(A42="",0,IF(AND(O42=TRUE,G42&lt;&gt;TRUE),IFERROR(H42,0)+IFERROR(I42,0)+IFERROR(J42,0)+IFERROR(K42,0)+IFERROR(L42,0),0))</f>
        <v/>
      </c>
    </row>
    <row r="43">
      <c r="A43" s="10" t="n"/>
      <c r="B43" s="10" t="n"/>
      <c r="C43" s="11" t="n"/>
      <c r="D43" s="11" t="n"/>
      <c r="E43" s="10" t="n"/>
      <c r="F43" s="10" t="n"/>
      <c r="G43" s="12" t="n"/>
      <c r="H43" s="13" t="n"/>
      <c r="I43" s="13" t="n"/>
      <c r="J43" s="13" t="n"/>
      <c r="K43" s="13" t="n"/>
      <c r="L43" s="13" t="n"/>
      <c r="M43" s="14">
        <f>IFERROR(IF(A43="","",IFERROR(VLOOKUP(A43,Raw_PriorMonth!A:E,5,FALSE),0)),0)</f>
        <v/>
      </c>
      <c r="N43" s="14">
        <f>IF(A43="","",IFERROR(E43,0)+IFERROR(M43,0))</f>
        <v/>
      </c>
      <c r="O43" s="15">
        <f>IF(A43="","",IF(N43&gt;=28,TRUE,FALSE))</f>
        <v/>
      </c>
      <c r="P43" s="15">
        <f>IF(A43="","",OR(G43=TRUE,O43=TRUE))</f>
        <v/>
      </c>
      <c r="Q43" s="16">
        <f>IF(A43="","",IFERROR(H43,0)+IFERROR(I43,0)+IFERROR(J43,0)+IFERROR(K43,0)+IFERROR(L43,0))</f>
        <v/>
      </c>
      <c r="R43" s="16">
        <f>IF(A43="","",IF(P43=TRUE,0,Q43))</f>
        <v/>
      </c>
      <c r="S43" s="16">
        <f>IF(A43="","",IF(P43=TRUE,0,IFERROR(H43,0)))</f>
        <v/>
      </c>
      <c r="T43" s="16">
        <f>IF(A43="","",IF(P43=TRUE,0,IFERROR(I43,0)))</f>
        <v/>
      </c>
      <c r="U43" s="16">
        <f>IF(A43="","",IF(P43=TRUE,0,IFERROR(J43,0)))</f>
        <v/>
      </c>
      <c r="V43" s="16">
        <f>IF(A43="","",IF(P43=TRUE,0,IFERROR(K43,0)))</f>
        <v/>
      </c>
      <c r="W43" s="16">
        <f>IF(A43="","",IF(P43=TRUE,0,IFERROR(L43,0)))</f>
        <v/>
      </c>
      <c r="X43" s="16">
        <f>IF(A43="","",IF(P43=TRUE,0,IFERROR(H43,0)+IFERROR(I43,0)+IFERROR(L43,0)))</f>
        <v/>
      </c>
      <c r="Y43" s="16">
        <f>IF(A43="",0,IF(G43=TRUE,IFERROR(H43,0)+IFERROR(I43,0)+IFERROR(J43,0)+IFERROR(K43,0)+IFERROR(L43,0),0))</f>
        <v/>
      </c>
      <c r="Z43" s="16">
        <f>IF(A43="",0,IF(AND(O43=TRUE,G43&lt;&gt;TRUE),IFERROR(H43,0)+IFERROR(I43,0)+IFERROR(J43,0)+IFERROR(K43,0)+IFERROR(L43,0),0))</f>
        <v/>
      </c>
    </row>
    <row r="44">
      <c r="A44" s="10" t="n"/>
      <c r="B44" s="10" t="n"/>
      <c r="C44" s="11" t="n"/>
      <c r="D44" s="11" t="n"/>
      <c r="E44" s="10" t="n"/>
      <c r="F44" s="10" t="n"/>
      <c r="G44" s="12" t="n"/>
      <c r="H44" s="13" t="n"/>
      <c r="I44" s="13" t="n"/>
      <c r="J44" s="13" t="n"/>
      <c r="K44" s="13" t="n"/>
      <c r="L44" s="13" t="n"/>
      <c r="M44" s="14">
        <f>IFERROR(IF(A44="","",IFERROR(VLOOKUP(A44,Raw_PriorMonth!A:E,5,FALSE),0)),0)</f>
        <v/>
      </c>
      <c r="N44" s="14">
        <f>IF(A44="","",IFERROR(E44,0)+IFERROR(M44,0))</f>
        <v/>
      </c>
      <c r="O44" s="15">
        <f>IF(A44="","",IF(N44&gt;=28,TRUE,FALSE))</f>
        <v/>
      </c>
      <c r="P44" s="15">
        <f>IF(A44="","",OR(G44=TRUE,O44=TRUE))</f>
        <v/>
      </c>
      <c r="Q44" s="16">
        <f>IF(A44="","",IFERROR(H44,0)+IFERROR(I44,0)+IFERROR(J44,0)+IFERROR(K44,0)+IFERROR(L44,0))</f>
        <v/>
      </c>
      <c r="R44" s="16">
        <f>IF(A44="","",IF(P44=TRUE,0,Q44))</f>
        <v/>
      </c>
      <c r="S44" s="16">
        <f>IF(A44="","",IF(P44=TRUE,0,IFERROR(H44,0)))</f>
        <v/>
      </c>
      <c r="T44" s="16">
        <f>IF(A44="","",IF(P44=TRUE,0,IFERROR(I44,0)))</f>
        <v/>
      </c>
      <c r="U44" s="16">
        <f>IF(A44="","",IF(P44=TRUE,0,IFERROR(J44,0)))</f>
        <v/>
      </c>
      <c r="V44" s="16">
        <f>IF(A44="","",IF(P44=TRUE,0,IFERROR(K44,0)))</f>
        <v/>
      </c>
      <c r="W44" s="16">
        <f>IF(A44="","",IF(P44=TRUE,0,IFERROR(L44,0)))</f>
        <v/>
      </c>
      <c r="X44" s="16">
        <f>IF(A44="","",IF(P44=TRUE,0,IFERROR(H44,0)+IFERROR(I44,0)+IFERROR(L44,0)))</f>
        <v/>
      </c>
      <c r="Y44" s="16">
        <f>IF(A44="",0,IF(G44=TRUE,IFERROR(H44,0)+IFERROR(I44,0)+IFERROR(J44,0)+IFERROR(K44,0)+IFERROR(L44,0),0))</f>
        <v/>
      </c>
      <c r="Z44" s="16">
        <f>IF(A44="",0,IF(AND(O44=TRUE,G44&lt;&gt;TRUE),IFERROR(H44,0)+IFERROR(I44,0)+IFERROR(J44,0)+IFERROR(K44,0)+IFERROR(L44,0),0))</f>
        <v/>
      </c>
    </row>
    <row r="45">
      <c r="A45" s="10" t="n"/>
      <c r="B45" s="10" t="n"/>
      <c r="C45" s="11" t="n"/>
      <c r="D45" s="11" t="n"/>
      <c r="E45" s="10" t="n"/>
      <c r="F45" s="10" t="n"/>
      <c r="G45" s="12" t="n"/>
      <c r="H45" s="13" t="n"/>
      <c r="I45" s="13" t="n"/>
      <c r="J45" s="13" t="n"/>
      <c r="K45" s="13" t="n"/>
      <c r="L45" s="13" t="n"/>
      <c r="M45" s="14">
        <f>IFERROR(IF(A45="","",IFERROR(VLOOKUP(A45,Raw_PriorMonth!A:E,5,FALSE),0)),0)</f>
        <v/>
      </c>
      <c r="N45" s="14">
        <f>IF(A45="","",IFERROR(E45,0)+IFERROR(M45,0))</f>
        <v/>
      </c>
      <c r="O45" s="15">
        <f>IF(A45="","",IF(N45&gt;=28,TRUE,FALSE))</f>
        <v/>
      </c>
      <c r="P45" s="15">
        <f>IF(A45="","",OR(G45=TRUE,O45=TRUE))</f>
        <v/>
      </c>
      <c r="Q45" s="16">
        <f>IF(A45="","",IFERROR(H45,0)+IFERROR(I45,0)+IFERROR(J45,0)+IFERROR(K45,0)+IFERROR(L45,0))</f>
        <v/>
      </c>
      <c r="R45" s="16">
        <f>IF(A45="","",IF(P45=TRUE,0,Q45))</f>
        <v/>
      </c>
      <c r="S45" s="16">
        <f>IF(A45="","",IF(P45=TRUE,0,IFERROR(H45,0)))</f>
        <v/>
      </c>
      <c r="T45" s="16">
        <f>IF(A45="","",IF(P45=TRUE,0,IFERROR(I45,0)))</f>
        <v/>
      </c>
      <c r="U45" s="16">
        <f>IF(A45="","",IF(P45=TRUE,0,IFERROR(J45,0)))</f>
        <v/>
      </c>
      <c r="V45" s="16">
        <f>IF(A45="","",IF(P45=TRUE,0,IFERROR(K45,0)))</f>
        <v/>
      </c>
      <c r="W45" s="16">
        <f>IF(A45="","",IF(P45=TRUE,0,IFERROR(L45,0)))</f>
        <v/>
      </c>
      <c r="X45" s="16">
        <f>IF(A45="","",IF(P45=TRUE,0,IFERROR(H45,0)+IFERROR(I45,0)+IFERROR(L45,0)))</f>
        <v/>
      </c>
      <c r="Y45" s="16">
        <f>IF(A45="",0,IF(G45=TRUE,IFERROR(H45,0)+IFERROR(I45,0)+IFERROR(J45,0)+IFERROR(K45,0)+IFERROR(L45,0),0))</f>
        <v/>
      </c>
      <c r="Z45" s="16">
        <f>IF(A45="",0,IF(AND(O45=TRUE,G45&lt;&gt;TRUE),IFERROR(H45,0)+IFERROR(I45,0)+IFERROR(J45,0)+IFERROR(K45,0)+IFERROR(L45,0),0))</f>
        <v/>
      </c>
    </row>
    <row r="46">
      <c r="A46" s="10" t="n"/>
      <c r="B46" s="10" t="n"/>
      <c r="C46" s="11" t="n"/>
      <c r="D46" s="11" t="n"/>
      <c r="E46" s="10" t="n"/>
      <c r="F46" s="10" t="n"/>
      <c r="G46" s="12" t="n"/>
      <c r="H46" s="13" t="n"/>
      <c r="I46" s="13" t="n"/>
      <c r="J46" s="13" t="n"/>
      <c r="K46" s="13" t="n"/>
      <c r="L46" s="13" t="n"/>
      <c r="M46" s="14">
        <f>IFERROR(IF(A46="","",IFERROR(VLOOKUP(A46,Raw_PriorMonth!A:E,5,FALSE),0)),0)</f>
        <v/>
      </c>
      <c r="N46" s="14">
        <f>IF(A46="","",IFERROR(E46,0)+IFERROR(M46,0))</f>
        <v/>
      </c>
      <c r="O46" s="15">
        <f>IF(A46="","",IF(N46&gt;=28,TRUE,FALSE))</f>
        <v/>
      </c>
      <c r="P46" s="15">
        <f>IF(A46="","",OR(G46=TRUE,O46=TRUE))</f>
        <v/>
      </c>
      <c r="Q46" s="16">
        <f>IF(A46="","",IFERROR(H46,0)+IFERROR(I46,0)+IFERROR(J46,0)+IFERROR(K46,0)+IFERROR(L46,0))</f>
        <v/>
      </c>
      <c r="R46" s="16">
        <f>IF(A46="","",IF(P46=TRUE,0,Q46))</f>
        <v/>
      </c>
      <c r="S46" s="16">
        <f>IF(A46="","",IF(P46=TRUE,0,IFERROR(H46,0)))</f>
        <v/>
      </c>
      <c r="T46" s="16">
        <f>IF(A46="","",IF(P46=TRUE,0,IFERROR(I46,0)))</f>
        <v/>
      </c>
      <c r="U46" s="16">
        <f>IF(A46="","",IF(P46=TRUE,0,IFERROR(J46,0)))</f>
        <v/>
      </c>
      <c r="V46" s="16">
        <f>IF(A46="","",IF(P46=TRUE,0,IFERROR(K46,0)))</f>
        <v/>
      </c>
      <c r="W46" s="16">
        <f>IF(A46="","",IF(P46=TRUE,0,IFERROR(L46,0)))</f>
        <v/>
      </c>
      <c r="X46" s="16">
        <f>IF(A46="","",IF(P46=TRUE,0,IFERROR(H46,0)+IFERROR(I46,0)+IFERROR(L46,0)))</f>
        <v/>
      </c>
      <c r="Y46" s="16">
        <f>IF(A46="",0,IF(G46=TRUE,IFERROR(H46,0)+IFERROR(I46,0)+IFERROR(J46,0)+IFERROR(K46,0)+IFERROR(L46,0),0))</f>
        <v/>
      </c>
      <c r="Z46" s="16">
        <f>IF(A46="",0,IF(AND(O46=TRUE,G46&lt;&gt;TRUE),IFERROR(H46,0)+IFERROR(I46,0)+IFERROR(J46,0)+IFERROR(K46,0)+IFERROR(L46,0),0))</f>
        <v/>
      </c>
    </row>
    <row r="47">
      <c r="A47" s="10" t="n"/>
      <c r="B47" s="10" t="n"/>
      <c r="C47" s="11" t="n"/>
      <c r="D47" s="11" t="n"/>
      <c r="E47" s="10" t="n"/>
      <c r="F47" s="10" t="n"/>
      <c r="G47" s="12" t="n"/>
      <c r="H47" s="13" t="n"/>
      <c r="I47" s="13" t="n"/>
      <c r="J47" s="13" t="n"/>
      <c r="K47" s="13" t="n"/>
      <c r="L47" s="13" t="n"/>
      <c r="M47" s="14">
        <f>IFERROR(IF(A47="","",IFERROR(VLOOKUP(A47,Raw_PriorMonth!A:E,5,FALSE),0)),0)</f>
        <v/>
      </c>
      <c r="N47" s="14">
        <f>IF(A47="","",IFERROR(E47,0)+IFERROR(M47,0))</f>
        <v/>
      </c>
      <c r="O47" s="15">
        <f>IF(A47="","",IF(N47&gt;=28,TRUE,FALSE))</f>
        <v/>
      </c>
      <c r="P47" s="15">
        <f>IF(A47="","",OR(G47=TRUE,O47=TRUE))</f>
        <v/>
      </c>
      <c r="Q47" s="16">
        <f>IF(A47="","",IFERROR(H47,0)+IFERROR(I47,0)+IFERROR(J47,0)+IFERROR(K47,0)+IFERROR(L47,0))</f>
        <v/>
      </c>
      <c r="R47" s="16">
        <f>IF(A47="","",IF(P47=TRUE,0,Q47))</f>
        <v/>
      </c>
      <c r="S47" s="16">
        <f>IF(A47="","",IF(P47=TRUE,0,IFERROR(H47,0)))</f>
        <v/>
      </c>
      <c r="T47" s="16">
        <f>IF(A47="","",IF(P47=TRUE,0,IFERROR(I47,0)))</f>
        <v/>
      </c>
      <c r="U47" s="16">
        <f>IF(A47="","",IF(P47=TRUE,0,IFERROR(J47,0)))</f>
        <v/>
      </c>
      <c r="V47" s="16">
        <f>IF(A47="","",IF(P47=TRUE,0,IFERROR(K47,0)))</f>
        <v/>
      </c>
      <c r="W47" s="16">
        <f>IF(A47="","",IF(P47=TRUE,0,IFERROR(L47,0)))</f>
        <v/>
      </c>
      <c r="X47" s="16">
        <f>IF(A47="","",IF(P47=TRUE,0,IFERROR(H47,0)+IFERROR(I47,0)+IFERROR(L47,0)))</f>
        <v/>
      </c>
      <c r="Y47" s="16">
        <f>IF(A47="",0,IF(G47=TRUE,IFERROR(H47,0)+IFERROR(I47,0)+IFERROR(J47,0)+IFERROR(K47,0)+IFERROR(L47,0),0))</f>
        <v/>
      </c>
      <c r="Z47" s="16">
        <f>IF(A47="",0,IF(AND(O47=TRUE,G47&lt;&gt;TRUE),IFERROR(H47,0)+IFERROR(I47,0)+IFERROR(J47,0)+IFERROR(K47,0)+IFERROR(L47,0),0))</f>
        <v/>
      </c>
    </row>
    <row r="48">
      <c r="A48" s="10" t="n"/>
      <c r="B48" s="10" t="n"/>
      <c r="C48" s="11" t="n"/>
      <c r="D48" s="11" t="n"/>
      <c r="E48" s="10" t="n"/>
      <c r="F48" s="10" t="n"/>
      <c r="G48" s="12" t="n"/>
      <c r="H48" s="13" t="n"/>
      <c r="I48" s="13" t="n"/>
      <c r="J48" s="13" t="n"/>
      <c r="K48" s="13" t="n"/>
      <c r="L48" s="13" t="n"/>
      <c r="M48" s="14">
        <f>IFERROR(IF(A48="","",IFERROR(VLOOKUP(A48,Raw_PriorMonth!A:E,5,FALSE),0)),0)</f>
        <v/>
      </c>
      <c r="N48" s="14">
        <f>IF(A48="","",IFERROR(E48,0)+IFERROR(M48,0))</f>
        <v/>
      </c>
      <c r="O48" s="15">
        <f>IF(A48="","",IF(N48&gt;=28,TRUE,FALSE))</f>
        <v/>
      </c>
      <c r="P48" s="15">
        <f>IF(A48="","",OR(G48=TRUE,O48=TRUE))</f>
        <v/>
      </c>
      <c r="Q48" s="16">
        <f>IF(A48="","",IFERROR(H48,0)+IFERROR(I48,0)+IFERROR(J48,0)+IFERROR(K48,0)+IFERROR(L48,0))</f>
        <v/>
      </c>
      <c r="R48" s="16">
        <f>IF(A48="","",IF(P48=TRUE,0,Q48))</f>
        <v/>
      </c>
      <c r="S48" s="16">
        <f>IF(A48="","",IF(P48=TRUE,0,IFERROR(H48,0)))</f>
        <v/>
      </c>
      <c r="T48" s="16">
        <f>IF(A48="","",IF(P48=TRUE,0,IFERROR(I48,0)))</f>
        <v/>
      </c>
      <c r="U48" s="16">
        <f>IF(A48="","",IF(P48=TRUE,0,IFERROR(J48,0)))</f>
        <v/>
      </c>
      <c r="V48" s="16">
        <f>IF(A48="","",IF(P48=TRUE,0,IFERROR(K48,0)))</f>
        <v/>
      </c>
      <c r="W48" s="16">
        <f>IF(A48="","",IF(P48=TRUE,0,IFERROR(L48,0)))</f>
        <v/>
      </c>
      <c r="X48" s="16">
        <f>IF(A48="","",IF(P48=TRUE,0,IFERROR(H48,0)+IFERROR(I48,0)+IFERROR(L48,0)))</f>
        <v/>
      </c>
      <c r="Y48" s="16">
        <f>IF(A48="",0,IF(G48=TRUE,IFERROR(H48,0)+IFERROR(I48,0)+IFERROR(J48,0)+IFERROR(K48,0)+IFERROR(L48,0),0))</f>
        <v/>
      </c>
      <c r="Z48" s="16">
        <f>IF(A48="",0,IF(AND(O48=TRUE,G48&lt;&gt;TRUE),IFERROR(H48,0)+IFERROR(I48,0)+IFERROR(J48,0)+IFERROR(K48,0)+IFERROR(L48,0),0))</f>
        <v/>
      </c>
    </row>
    <row r="49">
      <c r="A49" s="10" t="n"/>
      <c r="B49" s="10" t="n"/>
      <c r="C49" s="11" t="n"/>
      <c r="D49" s="11" t="n"/>
      <c r="E49" s="10" t="n"/>
      <c r="F49" s="10" t="n"/>
      <c r="G49" s="12" t="n"/>
      <c r="H49" s="13" t="n"/>
      <c r="I49" s="13" t="n"/>
      <c r="J49" s="13" t="n"/>
      <c r="K49" s="13" t="n"/>
      <c r="L49" s="13" t="n"/>
      <c r="M49" s="14">
        <f>IFERROR(IF(A49="","",IFERROR(VLOOKUP(A49,Raw_PriorMonth!A:E,5,FALSE),0)),0)</f>
        <v/>
      </c>
      <c r="N49" s="14">
        <f>IF(A49="","",IFERROR(E49,0)+IFERROR(M49,0))</f>
        <v/>
      </c>
      <c r="O49" s="15">
        <f>IF(A49="","",IF(N49&gt;=28,TRUE,FALSE))</f>
        <v/>
      </c>
      <c r="P49" s="15">
        <f>IF(A49="","",OR(G49=TRUE,O49=TRUE))</f>
        <v/>
      </c>
      <c r="Q49" s="16">
        <f>IF(A49="","",IFERROR(H49,0)+IFERROR(I49,0)+IFERROR(J49,0)+IFERROR(K49,0)+IFERROR(L49,0))</f>
        <v/>
      </c>
      <c r="R49" s="16">
        <f>IF(A49="","",IF(P49=TRUE,0,Q49))</f>
        <v/>
      </c>
      <c r="S49" s="16">
        <f>IF(A49="","",IF(P49=TRUE,0,IFERROR(H49,0)))</f>
        <v/>
      </c>
      <c r="T49" s="16">
        <f>IF(A49="","",IF(P49=TRUE,0,IFERROR(I49,0)))</f>
        <v/>
      </c>
      <c r="U49" s="16">
        <f>IF(A49="","",IF(P49=TRUE,0,IFERROR(J49,0)))</f>
        <v/>
      </c>
      <c r="V49" s="16">
        <f>IF(A49="","",IF(P49=TRUE,0,IFERROR(K49,0)))</f>
        <v/>
      </c>
      <c r="W49" s="16">
        <f>IF(A49="","",IF(P49=TRUE,0,IFERROR(L49,0)))</f>
        <v/>
      </c>
      <c r="X49" s="16">
        <f>IF(A49="","",IF(P49=TRUE,0,IFERROR(H49,0)+IFERROR(I49,0)+IFERROR(L49,0)))</f>
        <v/>
      </c>
      <c r="Y49" s="16">
        <f>IF(A49="",0,IF(G49=TRUE,IFERROR(H49,0)+IFERROR(I49,0)+IFERROR(J49,0)+IFERROR(K49,0)+IFERROR(L49,0),0))</f>
        <v/>
      </c>
      <c r="Z49" s="16">
        <f>IF(A49="",0,IF(AND(O49=TRUE,G49&lt;&gt;TRUE),IFERROR(H49,0)+IFERROR(I49,0)+IFERROR(J49,0)+IFERROR(K49,0)+IFERROR(L49,0),0))</f>
        <v/>
      </c>
    </row>
    <row r="50">
      <c r="A50" s="10" t="n"/>
      <c r="B50" s="10" t="n"/>
      <c r="C50" s="11" t="n"/>
      <c r="D50" s="11" t="n"/>
      <c r="E50" s="10" t="n"/>
      <c r="F50" s="10" t="n"/>
      <c r="G50" s="12" t="n"/>
      <c r="H50" s="13" t="n"/>
      <c r="I50" s="13" t="n"/>
      <c r="J50" s="13" t="n"/>
      <c r="K50" s="13" t="n"/>
      <c r="L50" s="13" t="n"/>
      <c r="M50" s="14">
        <f>IFERROR(IF(A50="","",IFERROR(VLOOKUP(A50,Raw_PriorMonth!A:E,5,FALSE),0)),0)</f>
        <v/>
      </c>
      <c r="N50" s="14">
        <f>IF(A50="","",IFERROR(E50,0)+IFERROR(M50,0))</f>
        <v/>
      </c>
      <c r="O50" s="15">
        <f>IF(A50="","",IF(N50&gt;=28,TRUE,FALSE))</f>
        <v/>
      </c>
      <c r="P50" s="15">
        <f>IF(A50="","",OR(G50=TRUE,O50=TRUE))</f>
        <v/>
      </c>
      <c r="Q50" s="16">
        <f>IF(A50="","",IFERROR(H50,0)+IFERROR(I50,0)+IFERROR(J50,0)+IFERROR(K50,0)+IFERROR(L50,0))</f>
        <v/>
      </c>
      <c r="R50" s="16">
        <f>IF(A50="","",IF(P50=TRUE,0,Q50))</f>
        <v/>
      </c>
      <c r="S50" s="16">
        <f>IF(A50="","",IF(P50=TRUE,0,IFERROR(H50,0)))</f>
        <v/>
      </c>
      <c r="T50" s="16">
        <f>IF(A50="","",IF(P50=TRUE,0,IFERROR(I50,0)))</f>
        <v/>
      </c>
      <c r="U50" s="16">
        <f>IF(A50="","",IF(P50=TRUE,0,IFERROR(J50,0)))</f>
        <v/>
      </c>
      <c r="V50" s="16">
        <f>IF(A50="","",IF(P50=TRUE,0,IFERROR(K50,0)))</f>
        <v/>
      </c>
      <c r="W50" s="16">
        <f>IF(A50="","",IF(P50=TRUE,0,IFERROR(L50,0)))</f>
        <v/>
      </c>
      <c r="X50" s="16">
        <f>IF(A50="","",IF(P50=TRUE,0,IFERROR(H50,0)+IFERROR(I50,0)+IFERROR(L50,0)))</f>
        <v/>
      </c>
      <c r="Y50" s="16">
        <f>IF(A50="",0,IF(G50=TRUE,IFERROR(H50,0)+IFERROR(I50,0)+IFERROR(J50,0)+IFERROR(K50,0)+IFERROR(L50,0),0))</f>
        <v/>
      </c>
      <c r="Z50" s="16">
        <f>IF(A50="",0,IF(AND(O50=TRUE,G50&lt;&gt;TRUE),IFERROR(H50,0)+IFERROR(I50,0)+IFERROR(J50,0)+IFERROR(K50,0)+IFERROR(L50,0),0))</f>
        <v/>
      </c>
    </row>
    <row r="51">
      <c r="A51" s="10" t="n"/>
      <c r="B51" s="10" t="n"/>
      <c r="C51" s="11" t="n"/>
      <c r="D51" s="11" t="n"/>
      <c r="E51" s="10" t="n"/>
      <c r="F51" s="10" t="n"/>
      <c r="G51" s="12" t="n"/>
      <c r="H51" s="13" t="n"/>
      <c r="I51" s="13" t="n"/>
      <c r="J51" s="13" t="n"/>
      <c r="K51" s="13" t="n"/>
      <c r="L51" s="13" t="n"/>
      <c r="M51" s="14">
        <f>IFERROR(IF(A51="","",IFERROR(VLOOKUP(A51,Raw_PriorMonth!A:E,5,FALSE),0)),0)</f>
        <v/>
      </c>
      <c r="N51" s="14">
        <f>IF(A51="","",IFERROR(E51,0)+IFERROR(M51,0))</f>
        <v/>
      </c>
      <c r="O51" s="15">
        <f>IF(A51="","",IF(N51&gt;=28,TRUE,FALSE))</f>
        <v/>
      </c>
      <c r="P51" s="15">
        <f>IF(A51="","",OR(G51=TRUE,O51=TRUE))</f>
        <v/>
      </c>
      <c r="Q51" s="16">
        <f>IF(A51="","",IFERROR(H51,0)+IFERROR(I51,0)+IFERROR(J51,0)+IFERROR(K51,0)+IFERROR(L51,0))</f>
        <v/>
      </c>
      <c r="R51" s="16">
        <f>IF(A51="","",IF(P51=TRUE,0,Q51))</f>
        <v/>
      </c>
      <c r="S51" s="16">
        <f>IF(A51="","",IF(P51=TRUE,0,IFERROR(H51,0)))</f>
        <v/>
      </c>
      <c r="T51" s="16">
        <f>IF(A51="","",IF(P51=TRUE,0,IFERROR(I51,0)))</f>
        <v/>
      </c>
      <c r="U51" s="16">
        <f>IF(A51="","",IF(P51=TRUE,0,IFERROR(J51,0)))</f>
        <v/>
      </c>
      <c r="V51" s="16">
        <f>IF(A51="","",IF(P51=TRUE,0,IFERROR(K51,0)))</f>
        <v/>
      </c>
      <c r="W51" s="16">
        <f>IF(A51="","",IF(P51=TRUE,0,IFERROR(L51,0)))</f>
        <v/>
      </c>
      <c r="X51" s="16">
        <f>IF(A51="","",IF(P51=TRUE,0,IFERROR(H51,0)+IFERROR(I51,0)+IFERROR(L51,0)))</f>
        <v/>
      </c>
      <c r="Y51" s="16">
        <f>IF(A51="",0,IF(G51=TRUE,IFERROR(H51,0)+IFERROR(I51,0)+IFERROR(J51,0)+IFERROR(K51,0)+IFERROR(L51,0),0))</f>
        <v/>
      </c>
      <c r="Z51" s="16">
        <f>IF(A51="",0,IF(AND(O51=TRUE,G51&lt;&gt;TRUE),IFERROR(H51,0)+IFERROR(I51,0)+IFERROR(J51,0)+IFERROR(K51,0)+IFERROR(L51,0),0))</f>
        <v/>
      </c>
    </row>
    <row r="52">
      <c r="A52" s="10" t="n"/>
      <c r="B52" s="10" t="n"/>
      <c r="C52" s="11" t="n"/>
      <c r="D52" s="11" t="n"/>
      <c r="E52" s="10" t="n"/>
      <c r="F52" s="10" t="n"/>
      <c r="G52" s="12" t="n"/>
      <c r="H52" s="13" t="n"/>
      <c r="I52" s="13" t="n"/>
      <c r="J52" s="13" t="n"/>
      <c r="K52" s="13" t="n"/>
      <c r="L52" s="13" t="n"/>
      <c r="M52" s="14">
        <f>IFERROR(IF(A52="","",IFERROR(VLOOKUP(A52,Raw_PriorMonth!A:E,5,FALSE),0)),0)</f>
        <v/>
      </c>
      <c r="N52" s="14">
        <f>IF(A52="","",IFERROR(E52,0)+IFERROR(M52,0))</f>
        <v/>
      </c>
      <c r="O52" s="15">
        <f>IF(A52="","",IF(N52&gt;=28,TRUE,FALSE))</f>
        <v/>
      </c>
      <c r="P52" s="15">
        <f>IF(A52="","",OR(G52=TRUE,O52=TRUE))</f>
        <v/>
      </c>
      <c r="Q52" s="16">
        <f>IF(A52="","",IFERROR(H52,0)+IFERROR(I52,0)+IFERROR(J52,0)+IFERROR(K52,0)+IFERROR(L52,0))</f>
        <v/>
      </c>
      <c r="R52" s="16">
        <f>IF(A52="","",IF(P52=TRUE,0,Q52))</f>
        <v/>
      </c>
      <c r="S52" s="16">
        <f>IF(A52="","",IF(P52=TRUE,0,IFERROR(H52,0)))</f>
        <v/>
      </c>
      <c r="T52" s="16">
        <f>IF(A52="","",IF(P52=TRUE,0,IFERROR(I52,0)))</f>
        <v/>
      </c>
      <c r="U52" s="16">
        <f>IF(A52="","",IF(P52=TRUE,0,IFERROR(J52,0)))</f>
        <v/>
      </c>
      <c r="V52" s="16">
        <f>IF(A52="","",IF(P52=TRUE,0,IFERROR(K52,0)))</f>
        <v/>
      </c>
      <c r="W52" s="16">
        <f>IF(A52="","",IF(P52=TRUE,0,IFERROR(L52,0)))</f>
        <v/>
      </c>
      <c r="X52" s="16">
        <f>IF(A52="","",IF(P52=TRUE,0,IFERROR(H52,0)+IFERROR(I52,0)+IFERROR(L52,0)))</f>
        <v/>
      </c>
      <c r="Y52" s="16">
        <f>IF(A52="",0,IF(G52=TRUE,IFERROR(H52,0)+IFERROR(I52,0)+IFERROR(J52,0)+IFERROR(K52,0)+IFERROR(L52,0),0))</f>
        <v/>
      </c>
      <c r="Z52" s="16">
        <f>IF(A52="",0,IF(AND(O52=TRUE,G52&lt;&gt;TRUE),IFERROR(H52,0)+IFERROR(I52,0)+IFERROR(J52,0)+IFERROR(K52,0)+IFERROR(L52,0),0))</f>
        <v/>
      </c>
    </row>
    <row r="53">
      <c r="A53" s="10" t="n"/>
      <c r="B53" s="10" t="n"/>
      <c r="C53" s="11" t="n"/>
      <c r="D53" s="11" t="n"/>
      <c r="E53" s="10" t="n"/>
      <c r="F53" s="10" t="n"/>
      <c r="G53" s="12" t="n"/>
      <c r="H53" s="13" t="n"/>
      <c r="I53" s="13" t="n"/>
      <c r="J53" s="13" t="n"/>
      <c r="K53" s="13" t="n"/>
      <c r="L53" s="13" t="n"/>
      <c r="M53" s="14">
        <f>IFERROR(IF(A53="","",IFERROR(VLOOKUP(A53,Raw_PriorMonth!A:E,5,FALSE),0)),0)</f>
        <v/>
      </c>
      <c r="N53" s="14">
        <f>IF(A53="","",IFERROR(E53,0)+IFERROR(M53,0))</f>
        <v/>
      </c>
      <c r="O53" s="15">
        <f>IF(A53="","",IF(N53&gt;=28,TRUE,FALSE))</f>
        <v/>
      </c>
      <c r="P53" s="15">
        <f>IF(A53="","",OR(G53=TRUE,O53=TRUE))</f>
        <v/>
      </c>
      <c r="Q53" s="16">
        <f>IF(A53="","",IFERROR(H53,0)+IFERROR(I53,0)+IFERROR(J53,0)+IFERROR(K53,0)+IFERROR(L53,0))</f>
        <v/>
      </c>
      <c r="R53" s="16">
        <f>IF(A53="","",IF(P53=TRUE,0,Q53))</f>
        <v/>
      </c>
      <c r="S53" s="16">
        <f>IF(A53="","",IF(P53=TRUE,0,IFERROR(H53,0)))</f>
        <v/>
      </c>
      <c r="T53" s="16">
        <f>IF(A53="","",IF(P53=TRUE,0,IFERROR(I53,0)))</f>
        <v/>
      </c>
      <c r="U53" s="16">
        <f>IF(A53="","",IF(P53=TRUE,0,IFERROR(J53,0)))</f>
        <v/>
      </c>
      <c r="V53" s="16">
        <f>IF(A53="","",IF(P53=TRUE,0,IFERROR(K53,0)))</f>
        <v/>
      </c>
      <c r="W53" s="16">
        <f>IF(A53="","",IF(P53=TRUE,0,IFERROR(L53,0)))</f>
        <v/>
      </c>
      <c r="X53" s="16">
        <f>IF(A53="","",IF(P53=TRUE,0,IFERROR(H53,0)+IFERROR(I53,0)+IFERROR(L53,0)))</f>
        <v/>
      </c>
      <c r="Y53" s="16">
        <f>IF(A53="",0,IF(G53=TRUE,IFERROR(H53,0)+IFERROR(I53,0)+IFERROR(J53,0)+IFERROR(K53,0)+IFERROR(L53,0),0))</f>
        <v/>
      </c>
      <c r="Z53" s="16">
        <f>IF(A53="",0,IF(AND(O53=TRUE,G53&lt;&gt;TRUE),IFERROR(H53,0)+IFERROR(I53,0)+IFERROR(J53,0)+IFERROR(K53,0)+IFERROR(L53,0),0))</f>
        <v/>
      </c>
    </row>
    <row r="54">
      <c r="A54" s="10" t="n"/>
      <c r="B54" s="10" t="n"/>
      <c r="C54" s="11" t="n"/>
      <c r="D54" s="11" t="n"/>
      <c r="E54" s="10" t="n"/>
      <c r="F54" s="10" t="n"/>
      <c r="G54" s="12" t="n"/>
      <c r="H54" s="13" t="n"/>
      <c r="I54" s="13" t="n"/>
      <c r="J54" s="13" t="n"/>
      <c r="K54" s="13" t="n"/>
      <c r="L54" s="13" t="n"/>
      <c r="M54" s="14">
        <f>IFERROR(IF(A54="","",IFERROR(VLOOKUP(A54,Raw_PriorMonth!A:E,5,FALSE),0)),0)</f>
        <v/>
      </c>
      <c r="N54" s="14">
        <f>IF(A54="","",IFERROR(E54,0)+IFERROR(M54,0))</f>
        <v/>
      </c>
      <c r="O54" s="15">
        <f>IF(A54="","",IF(N54&gt;=28,TRUE,FALSE))</f>
        <v/>
      </c>
      <c r="P54" s="15">
        <f>IF(A54="","",OR(G54=TRUE,O54=TRUE))</f>
        <v/>
      </c>
      <c r="Q54" s="16">
        <f>IF(A54="","",IFERROR(H54,0)+IFERROR(I54,0)+IFERROR(J54,0)+IFERROR(K54,0)+IFERROR(L54,0))</f>
        <v/>
      </c>
      <c r="R54" s="16">
        <f>IF(A54="","",IF(P54=TRUE,0,Q54))</f>
        <v/>
      </c>
      <c r="S54" s="16">
        <f>IF(A54="","",IF(P54=TRUE,0,IFERROR(H54,0)))</f>
        <v/>
      </c>
      <c r="T54" s="16">
        <f>IF(A54="","",IF(P54=TRUE,0,IFERROR(I54,0)))</f>
        <v/>
      </c>
      <c r="U54" s="16">
        <f>IF(A54="","",IF(P54=TRUE,0,IFERROR(J54,0)))</f>
        <v/>
      </c>
      <c r="V54" s="16">
        <f>IF(A54="","",IF(P54=TRUE,0,IFERROR(K54,0)))</f>
        <v/>
      </c>
      <c r="W54" s="16">
        <f>IF(A54="","",IF(P54=TRUE,0,IFERROR(L54,0)))</f>
        <v/>
      </c>
      <c r="X54" s="16">
        <f>IF(A54="","",IF(P54=TRUE,0,IFERROR(H54,0)+IFERROR(I54,0)+IFERROR(L54,0)))</f>
        <v/>
      </c>
      <c r="Y54" s="16">
        <f>IF(A54="",0,IF(G54=TRUE,IFERROR(H54,0)+IFERROR(I54,0)+IFERROR(J54,0)+IFERROR(K54,0)+IFERROR(L54,0),0))</f>
        <v/>
      </c>
      <c r="Z54" s="16">
        <f>IF(A54="",0,IF(AND(O54=TRUE,G54&lt;&gt;TRUE),IFERROR(H54,0)+IFERROR(I54,0)+IFERROR(J54,0)+IFERROR(K54,0)+IFERROR(L54,0),0))</f>
        <v/>
      </c>
    </row>
    <row r="55">
      <c r="A55" s="10" t="n"/>
      <c r="B55" s="10" t="n"/>
      <c r="C55" s="11" t="n"/>
      <c r="D55" s="11" t="n"/>
      <c r="E55" s="10" t="n"/>
      <c r="F55" s="10" t="n"/>
      <c r="G55" s="12" t="n"/>
      <c r="H55" s="13" t="n"/>
      <c r="I55" s="13" t="n"/>
      <c r="J55" s="13" t="n"/>
      <c r="K55" s="13" t="n"/>
      <c r="L55" s="13" t="n"/>
      <c r="M55" s="14">
        <f>IFERROR(IF(A55="","",IFERROR(VLOOKUP(A55,Raw_PriorMonth!A:E,5,FALSE),0)),0)</f>
        <v/>
      </c>
      <c r="N55" s="14">
        <f>IF(A55="","",IFERROR(E55,0)+IFERROR(M55,0))</f>
        <v/>
      </c>
      <c r="O55" s="15">
        <f>IF(A55="","",IF(N55&gt;=28,TRUE,FALSE))</f>
        <v/>
      </c>
      <c r="P55" s="15">
        <f>IF(A55="","",OR(G55=TRUE,O55=TRUE))</f>
        <v/>
      </c>
      <c r="Q55" s="16">
        <f>IF(A55="","",IFERROR(H55,0)+IFERROR(I55,0)+IFERROR(J55,0)+IFERROR(K55,0)+IFERROR(L55,0))</f>
        <v/>
      </c>
      <c r="R55" s="16">
        <f>IF(A55="","",IF(P55=TRUE,0,Q55))</f>
        <v/>
      </c>
      <c r="S55" s="16">
        <f>IF(A55="","",IF(P55=TRUE,0,IFERROR(H55,0)))</f>
        <v/>
      </c>
      <c r="T55" s="16">
        <f>IF(A55="","",IF(P55=TRUE,0,IFERROR(I55,0)))</f>
        <v/>
      </c>
      <c r="U55" s="16">
        <f>IF(A55="","",IF(P55=TRUE,0,IFERROR(J55,0)))</f>
        <v/>
      </c>
      <c r="V55" s="16">
        <f>IF(A55="","",IF(P55=TRUE,0,IFERROR(K55,0)))</f>
        <v/>
      </c>
      <c r="W55" s="16">
        <f>IF(A55="","",IF(P55=TRUE,0,IFERROR(L55,0)))</f>
        <v/>
      </c>
      <c r="X55" s="16">
        <f>IF(A55="","",IF(P55=TRUE,0,IFERROR(H55,0)+IFERROR(I55,0)+IFERROR(L55,0)))</f>
        <v/>
      </c>
      <c r="Y55" s="16">
        <f>IF(A55="",0,IF(G55=TRUE,IFERROR(H55,0)+IFERROR(I55,0)+IFERROR(J55,0)+IFERROR(K55,0)+IFERROR(L55,0),0))</f>
        <v/>
      </c>
      <c r="Z55" s="16">
        <f>IF(A55="",0,IF(AND(O55=TRUE,G55&lt;&gt;TRUE),IFERROR(H55,0)+IFERROR(I55,0)+IFERROR(J55,0)+IFERROR(K55,0)+IFERROR(L55,0),0))</f>
        <v/>
      </c>
    </row>
    <row r="56">
      <c r="A56" s="10" t="n"/>
      <c r="B56" s="10" t="n"/>
      <c r="C56" s="11" t="n"/>
      <c r="D56" s="11" t="n"/>
      <c r="E56" s="10" t="n"/>
      <c r="F56" s="10" t="n"/>
      <c r="G56" s="12" t="n"/>
      <c r="H56" s="13" t="n"/>
      <c r="I56" s="13" t="n"/>
      <c r="J56" s="13" t="n"/>
      <c r="K56" s="13" t="n"/>
      <c r="L56" s="13" t="n"/>
      <c r="M56" s="14">
        <f>IFERROR(IF(A56="","",IFERROR(VLOOKUP(A56,Raw_PriorMonth!A:E,5,FALSE),0)),0)</f>
        <v/>
      </c>
      <c r="N56" s="14">
        <f>IF(A56="","",IFERROR(E56,0)+IFERROR(M56,0))</f>
        <v/>
      </c>
      <c r="O56" s="15">
        <f>IF(A56="","",IF(N56&gt;=28,TRUE,FALSE))</f>
        <v/>
      </c>
      <c r="P56" s="15">
        <f>IF(A56="","",OR(G56=TRUE,O56=TRUE))</f>
        <v/>
      </c>
      <c r="Q56" s="16">
        <f>IF(A56="","",IFERROR(H56,0)+IFERROR(I56,0)+IFERROR(J56,0)+IFERROR(K56,0)+IFERROR(L56,0))</f>
        <v/>
      </c>
      <c r="R56" s="16">
        <f>IF(A56="","",IF(P56=TRUE,0,Q56))</f>
        <v/>
      </c>
      <c r="S56" s="16">
        <f>IF(A56="","",IF(P56=TRUE,0,IFERROR(H56,0)))</f>
        <v/>
      </c>
      <c r="T56" s="16">
        <f>IF(A56="","",IF(P56=TRUE,0,IFERROR(I56,0)))</f>
        <v/>
      </c>
      <c r="U56" s="16">
        <f>IF(A56="","",IF(P56=TRUE,0,IFERROR(J56,0)))</f>
        <v/>
      </c>
      <c r="V56" s="16">
        <f>IF(A56="","",IF(P56=TRUE,0,IFERROR(K56,0)))</f>
        <v/>
      </c>
      <c r="W56" s="16">
        <f>IF(A56="","",IF(P56=TRUE,0,IFERROR(L56,0)))</f>
        <v/>
      </c>
      <c r="X56" s="16">
        <f>IF(A56="","",IF(P56=TRUE,0,IFERROR(H56,0)+IFERROR(I56,0)+IFERROR(L56,0)))</f>
        <v/>
      </c>
      <c r="Y56" s="16">
        <f>IF(A56="",0,IF(G56=TRUE,IFERROR(H56,0)+IFERROR(I56,0)+IFERROR(J56,0)+IFERROR(K56,0)+IFERROR(L56,0),0))</f>
        <v/>
      </c>
      <c r="Z56" s="16">
        <f>IF(A56="",0,IF(AND(O56=TRUE,G56&lt;&gt;TRUE),IFERROR(H56,0)+IFERROR(I56,0)+IFERROR(J56,0)+IFERROR(K56,0)+IFERROR(L56,0),0))</f>
        <v/>
      </c>
    </row>
    <row r="57">
      <c r="A57" s="10" t="n"/>
      <c r="B57" s="10" t="n"/>
      <c r="C57" s="11" t="n"/>
      <c r="D57" s="11" t="n"/>
      <c r="E57" s="10" t="n"/>
      <c r="F57" s="10" t="n"/>
      <c r="G57" s="12" t="n"/>
      <c r="H57" s="13" t="n"/>
      <c r="I57" s="13" t="n"/>
      <c r="J57" s="13" t="n"/>
      <c r="K57" s="13" t="n"/>
      <c r="L57" s="13" t="n"/>
      <c r="M57" s="14">
        <f>IFERROR(IF(A57="","",IFERROR(VLOOKUP(A57,Raw_PriorMonth!A:E,5,FALSE),0)),0)</f>
        <v/>
      </c>
      <c r="N57" s="14">
        <f>IF(A57="","",IFERROR(E57,0)+IFERROR(M57,0))</f>
        <v/>
      </c>
      <c r="O57" s="15">
        <f>IF(A57="","",IF(N57&gt;=28,TRUE,FALSE))</f>
        <v/>
      </c>
      <c r="P57" s="15">
        <f>IF(A57="","",OR(G57=TRUE,O57=TRUE))</f>
        <v/>
      </c>
      <c r="Q57" s="16">
        <f>IF(A57="","",IFERROR(H57,0)+IFERROR(I57,0)+IFERROR(J57,0)+IFERROR(K57,0)+IFERROR(L57,0))</f>
        <v/>
      </c>
      <c r="R57" s="16">
        <f>IF(A57="","",IF(P57=TRUE,0,Q57))</f>
        <v/>
      </c>
      <c r="S57" s="16">
        <f>IF(A57="","",IF(P57=TRUE,0,IFERROR(H57,0)))</f>
        <v/>
      </c>
      <c r="T57" s="16">
        <f>IF(A57="","",IF(P57=TRUE,0,IFERROR(I57,0)))</f>
        <v/>
      </c>
      <c r="U57" s="16">
        <f>IF(A57="","",IF(P57=TRUE,0,IFERROR(J57,0)))</f>
        <v/>
      </c>
      <c r="V57" s="16">
        <f>IF(A57="","",IF(P57=TRUE,0,IFERROR(K57,0)))</f>
        <v/>
      </c>
      <c r="W57" s="16">
        <f>IF(A57="","",IF(P57=TRUE,0,IFERROR(L57,0)))</f>
        <v/>
      </c>
      <c r="X57" s="16">
        <f>IF(A57="","",IF(P57=TRUE,0,IFERROR(H57,0)+IFERROR(I57,0)+IFERROR(L57,0)))</f>
        <v/>
      </c>
      <c r="Y57" s="16">
        <f>IF(A57="",0,IF(G57=TRUE,IFERROR(H57,0)+IFERROR(I57,0)+IFERROR(J57,0)+IFERROR(K57,0)+IFERROR(L57,0),0))</f>
        <v/>
      </c>
      <c r="Z57" s="16">
        <f>IF(A57="",0,IF(AND(O57=TRUE,G57&lt;&gt;TRUE),IFERROR(H57,0)+IFERROR(I57,0)+IFERROR(J57,0)+IFERROR(K57,0)+IFERROR(L57,0),0))</f>
        <v/>
      </c>
    </row>
    <row r="58">
      <c r="A58" s="10" t="n"/>
      <c r="B58" s="10" t="n"/>
      <c r="C58" s="11" t="n"/>
      <c r="D58" s="11" t="n"/>
      <c r="E58" s="10" t="n"/>
      <c r="F58" s="10" t="n"/>
      <c r="G58" s="12" t="n"/>
      <c r="H58" s="13" t="n"/>
      <c r="I58" s="13" t="n"/>
      <c r="J58" s="13" t="n"/>
      <c r="K58" s="13" t="n"/>
      <c r="L58" s="13" t="n"/>
      <c r="M58" s="14">
        <f>IFERROR(IF(A58="","",IFERROR(VLOOKUP(A58,Raw_PriorMonth!A:E,5,FALSE),0)),0)</f>
        <v/>
      </c>
      <c r="N58" s="14">
        <f>IF(A58="","",IFERROR(E58,0)+IFERROR(M58,0))</f>
        <v/>
      </c>
      <c r="O58" s="15">
        <f>IF(A58="","",IF(N58&gt;=28,TRUE,FALSE))</f>
        <v/>
      </c>
      <c r="P58" s="15">
        <f>IF(A58="","",OR(G58=TRUE,O58=TRUE))</f>
        <v/>
      </c>
      <c r="Q58" s="16">
        <f>IF(A58="","",IFERROR(H58,0)+IFERROR(I58,0)+IFERROR(J58,0)+IFERROR(K58,0)+IFERROR(L58,0))</f>
        <v/>
      </c>
      <c r="R58" s="16">
        <f>IF(A58="","",IF(P58=TRUE,0,Q58))</f>
        <v/>
      </c>
      <c r="S58" s="16">
        <f>IF(A58="","",IF(P58=TRUE,0,IFERROR(H58,0)))</f>
        <v/>
      </c>
      <c r="T58" s="16">
        <f>IF(A58="","",IF(P58=TRUE,0,IFERROR(I58,0)))</f>
        <v/>
      </c>
      <c r="U58" s="16">
        <f>IF(A58="","",IF(P58=TRUE,0,IFERROR(J58,0)))</f>
        <v/>
      </c>
      <c r="V58" s="16">
        <f>IF(A58="","",IF(P58=TRUE,0,IFERROR(K58,0)))</f>
        <v/>
      </c>
      <c r="W58" s="16">
        <f>IF(A58="","",IF(P58=TRUE,0,IFERROR(L58,0)))</f>
        <v/>
      </c>
      <c r="X58" s="16">
        <f>IF(A58="","",IF(P58=TRUE,0,IFERROR(H58,0)+IFERROR(I58,0)+IFERROR(L58,0)))</f>
        <v/>
      </c>
      <c r="Y58" s="16">
        <f>IF(A58="",0,IF(G58=TRUE,IFERROR(H58,0)+IFERROR(I58,0)+IFERROR(J58,0)+IFERROR(K58,0)+IFERROR(L58,0),0))</f>
        <v/>
      </c>
      <c r="Z58" s="16">
        <f>IF(A58="",0,IF(AND(O58=TRUE,G58&lt;&gt;TRUE),IFERROR(H58,0)+IFERROR(I58,0)+IFERROR(J58,0)+IFERROR(K58,0)+IFERROR(L58,0),0))</f>
        <v/>
      </c>
    </row>
    <row r="59">
      <c r="A59" s="10" t="n"/>
      <c r="B59" s="10" t="n"/>
      <c r="C59" s="11" t="n"/>
      <c r="D59" s="11" t="n"/>
      <c r="E59" s="10" t="n"/>
      <c r="F59" s="10" t="n"/>
      <c r="G59" s="12" t="n"/>
      <c r="H59" s="13" t="n"/>
      <c r="I59" s="13" t="n"/>
      <c r="J59" s="13" t="n"/>
      <c r="K59" s="13" t="n"/>
      <c r="L59" s="13" t="n"/>
      <c r="M59" s="14">
        <f>IFERROR(IF(A59="","",IFERROR(VLOOKUP(A59,Raw_PriorMonth!A:E,5,FALSE),0)),0)</f>
        <v/>
      </c>
      <c r="N59" s="14">
        <f>IF(A59="","",IFERROR(E59,0)+IFERROR(M59,0))</f>
        <v/>
      </c>
      <c r="O59" s="15">
        <f>IF(A59="","",IF(N59&gt;=28,TRUE,FALSE))</f>
        <v/>
      </c>
      <c r="P59" s="15">
        <f>IF(A59="","",OR(G59=TRUE,O59=TRUE))</f>
        <v/>
      </c>
      <c r="Q59" s="16">
        <f>IF(A59="","",IFERROR(H59,0)+IFERROR(I59,0)+IFERROR(J59,0)+IFERROR(K59,0)+IFERROR(L59,0))</f>
        <v/>
      </c>
      <c r="R59" s="16">
        <f>IF(A59="","",IF(P59=TRUE,0,Q59))</f>
        <v/>
      </c>
      <c r="S59" s="16">
        <f>IF(A59="","",IF(P59=TRUE,0,IFERROR(H59,0)))</f>
        <v/>
      </c>
      <c r="T59" s="16">
        <f>IF(A59="","",IF(P59=TRUE,0,IFERROR(I59,0)))</f>
        <v/>
      </c>
      <c r="U59" s="16">
        <f>IF(A59="","",IF(P59=TRUE,0,IFERROR(J59,0)))</f>
        <v/>
      </c>
      <c r="V59" s="16">
        <f>IF(A59="","",IF(P59=TRUE,0,IFERROR(K59,0)))</f>
        <v/>
      </c>
      <c r="W59" s="16">
        <f>IF(A59="","",IF(P59=TRUE,0,IFERROR(L59,0)))</f>
        <v/>
      </c>
      <c r="X59" s="16">
        <f>IF(A59="","",IF(P59=TRUE,0,IFERROR(H59,0)+IFERROR(I59,0)+IFERROR(L59,0)))</f>
        <v/>
      </c>
      <c r="Y59" s="16">
        <f>IF(A59="",0,IF(G59=TRUE,IFERROR(H59,0)+IFERROR(I59,0)+IFERROR(J59,0)+IFERROR(K59,0)+IFERROR(L59,0),0))</f>
        <v/>
      </c>
      <c r="Z59" s="16">
        <f>IF(A59="",0,IF(AND(O59=TRUE,G59&lt;&gt;TRUE),IFERROR(H59,0)+IFERROR(I59,0)+IFERROR(J59,0)+IFERROR(K59,0)+IFERROR(L59,0),0))</f>
        <v/>
      </c>
    </row>
    <row r="60">
      <c r="A60" s="10" t="n"/>
      <c r="B60" s="10" t="n"/>
      <c r="C60" s="11" t="n"/>
      <c r="D60" s="11" t="n"/>
      <c r="E60" s="10" t="n"/>
      <c r="F60" s="10" t="n"/>
      <c r="G60" s="12" t="n"/>
      <c r="H60" s="13" t="n"/>
      <c r="I60" s="13" t="n"/>
      <c r="J60" s="13" t="n"/>
      <c r="K60" s="13" t="n"/>
      <c r="L60" s="13" t="n"/>
      <c r="M60" s="14">
        <f>IFERROR(IF(A60="","",IFERROR(VLOOKUP(A60,Raw_PriorMonth!A:E,5,FALSE),0)),0)</f>
        <v/>
      </c>
      <c r="N60" s="14">
        <f>IF(A60="","",IFERROR(E60,0)+IFERROR(M60,0))</f>
        <v/>
      </c>
      <c r="O60" s="15">
        <f>IF(A60="","",IF(N60&gt;=28,TRUE,FALSE))</f>
        <v/>
      </c>
      <c r="P60" s="15">
        <f>IF(A60="","",OR(G60=TRUE,O60=TRUE))</f>
        <v/>
      </c>
      <c r="Q60" s="16">
        <f>IF(A60="","",IFERROR(H60,0)+IFERROR(I60,0)+IFERROR(J60,0)+IFERROR(K60,0)+IFERROR(L60,0))</f>
        <v/>
      </c>
      <c r="R60" s="16">
        <f>IF(A60="","",IF(P60=TRUE,0,Q60))</f>
        <v/>
      </c>
      <c r="S60" s="16">
        <f>IF(A60="","",IF(P60=TRUE,0,IFERROR(H60,0)))</f>
        <v/>
      </c>
      <c r="T60" s="16">
        <f>IF(A60="","",IF(P60=TRUE,0,IFERROR(I60,0)))</f>
        <v/>
      </c>
      <c r="U60" s="16">
        <f>IF(A60="","",IF(P60=TRUE,0,IFERROR(J60,0)))</f>
        <v/>
      </c>
      <c r="V60" s="16">
        <f>IF(A60="","",IF(P60=TRUE,0,IFERROR(K60,0)))</f>
        <v/>
      </c>
      <c r="W60" s="16">
        <f>IF(A60="","",IF(P60=TRUE,0,IFERROR(L60,0)))</f>
        <v/>
      </c>
      <c r="X60" s="16">
        <f>IF(A60="","",IF(P60=TRUE,0,IFERROR(H60,0)+IFERROR(I60,0)+IFERROR(L60,0)))</f>
        <v/>
      </c>
      <c r="Y60" s="16">
        <f>IF(A60="",0,IF(G60=TRUE,IFERROR(H60,0)+IFERROR(I60,0)+IFERROR(J60,0)+IFERROR(K60,0)+IFERROR(L60,0),0))</f>
        <v/>
      </c>
      <c r="Z60" s="16">
        <f>IF(A60="",0,IF(AND(O60=TRUE,G60&lt;&gt;TRUE),IFERROR(H60,0)+IFERROR(I60,0)+IFERROR(J60,0)+IFERROR(K60,0)+IFERROR(L60,0),0))</f>
        <v/>
      </c>
    </row>
    <row r="61">
      <c r="A61" s="10" t="n"/>
      <c r="B61" s="10" t="n"/>
      <c r="C61" s="11" t="n"/>
      <c r="D61" s="11" t="n"/>
      <c r="E61" s="10" t="n"/>
      <c r="F61" s="10" t="n"/>
      <c r="G61" s="12" t="n"/>
      <c r="H61" s="13" t="n"/>
      <c r="I61" s="13" t="n"/>
      <c r="J61" s="13" t="n"/>
      <c r="K61" s="13" t="n"/>
      <c r="L61" s="13" t="n"/>
      <c r="M61" s="14">
        <f>IFERROR(IF(A61="","",IFERROR(VLOOKUP(A61,Raw_PriorMonth!A:E,5,FALSE),0)),0)</f>
        <v/>
      </c>
      <c r="N61" s="14">
        <f>IF(A61="","",IFERROR(E61,0)+IFERROR(M61,0))</f>
        <v/>
      </c>
      <c r="O61" s="15">
        <f>IF(A61="","",IF(N61&gt;=28,TRUE,FALSE))</f>
        <v/>
      </c>
      <c r="P61" s="15">
        <f>IF(A61="","",OR(G61=TRUE,O61=TRUE))</f>
        <v/>
      </c>
      <c r="Q61" s="16">
        <f>IF(A61="","",IFERROR(H61,0)+IFERROR(I61,0)+IFERROR(J61,0)+IFERROR(K61,0)+IFERROR(L61,0))</f>
        <v/>
      </c>
      <c r="R61" s="16">
        <f>IF(A61="","",IF(P61=TRUE,0,Q61))</f>
        <v/>
      </c>
      <c r="S61" s="16">
        <f>IF(A61="","",IF(P61=TRUE,0,IFERROR(H61,0)))</f>
        <v/>
      </c>
      <c r="T61" s="16">
        <f>IF(A61="","",IF(P61=TRUE,0,IFERROR(I61,0)))</f>
        <v/>
      </c>
      <c r="U61" s="16">
        <f>IF(A61="","",IF(P61=TRUE,0,IFERROR(J61,0)))</f>
        <v/>
      </c>
      <c r="V61" s="16">
        <f>IF(A61="","",IF(P61=TRUE,0,IFERROR(K61,0)))</f>
        <v/>
      </c>
      <c r="W61" s="16">
        <f>IF(A61="","",IF(P61=TRUE,0,IFERROR(L61,0)))</f>
        <v/>
      </c>
      <c r="X61" s="16">
        <f>IF(A61="","",IF(P61=TRUE,0,IFERROR(H61,0)+IFERROR(I61,0)+IFERROR(L61,0)))</f>
        <v/>
      </c>
      <c r="Y61" s="16">
        <f>IF(A61="",0,IF(G61=TRUE,IFERROR(H61,0)+IFERROR(I61,0)+IFERROR(J61,0)+IFERROR(K61,0)+IFERROR(L61,0),0))</f>
        <v/>
      </c>
      <c r="Z61" s="16">
        <f>IF(A61="",0,IF(AND(O61=TRUE,G61&lt;&gt;TRUE),IFERROR(H61,0)+IFERROR(I61,0)+IFERROR(J61,0)+IFERROR(K61,0)+IFERROR(L61,0),0))</f>
        <v/>
      </c>
    </row>
    <row r="62">
      <c r="A62" s="10" t="n"/>
      <c r="B62" s="10" t="n"/>
      <c r="C62" s="11" t="n"/>
      <c r="D62" s="11" t="n"/>
      <c r="E62" s="10" t="n"/>
      <c r="F62" s="10" t="n"/>
      <c r="G62" s="12" t="n"/>
      <c r="H62" s="13" t="n"/>
      <c r="I62" s="13" t="n"/>
      <c r="J62" s="13" t="n"/>
      <c r="K62" s="13" t="n"/>
      <c r="L62" s="13" t="n"/>
      <c r="M62" s="14">
        <f>IFERROR(IF(A62="","",IFERROR(VLOOKUP(A62,Raw_PriorMonth!A:E,5,FALSE),0)),0)</f>
        <v/>
      </c>
      <c r="N62" s="14">
        <f>IF(A62="","",IFERROR(E62,0)+IFERROR(M62,0))</f>
        <v/>
      </c>
      <c r="O62" s="15">
        <f>IF(A62="","",IF(N62&gt;=28,TRUE,FALSE))</f>
        <v/>
      </c>
      <c r="P62" s="15">
        <f>IF(A62="","",OR(G62=TRUE,O62=TRUE))</f>
        <v/>
      </c>
      <c r="Q62" s="16">
        <f>IF(A62="","",IFERROR(H62,0)+IFERROR(I62,0)+IFERROR(J62,0)+IFERROR(K62,0)+IFERROR(L62,0))</f>
        <v/>
      </c>
      <c r="R62" s="16">
        <f>IF(A62="","",IF(P62=TRUE,0,Q62))</f>
        <v/>
      </c>
      <c r="S62" s="16">
        <f>IF(A62="","",IF(P62=TRUE,0,IFERROR(H62,0)))</f>
        <v/>
      </c>
      <c r="T62" s="16">
        <f>IF(A62="","",IF(P62=TRUE,0,IFERROR(I62,0)))</f>
        <v/>
      </c>
      <c r="U62" s="16">
        <f>IF(A62="","",IF(P62=TRUE,0,IFERROR(J62,0)))</f>
        <v/>
      </c>
      <c r="V62" s="16">
        <f>IF(A62="","",IF(P62=TRUE,0,IFERROR(K62,0)))</f>
        <v/>
      </c>
      <c r="W62" s="16">
        <f>IF(A62="","",IF(P62=TRUE,0,IFERROR(L62,0)))</f>
        <v/>
      </c>
      <c r="X62" s="16">
        <f>IF(A62="","",IF(P62=TRUE,0,IFERROR(H62,0)+IFERROR(I62,0)+IFERROR(L62,0)))</f>
        <v/>
      </c>
      <c r="Y62" s="16">
        <f>IF(A62="",0,IF(G62=TRUE,IFERROR(H62,0)+IFERROR(I62,0)+IFERROR(J62,0)+IFERROR(K62,0)+IFERROR(L62,0),0))</f>
        <v/>
      </c>
      <c r="Z62" s="16">
        <f>IF(A62="",0,IF(AND(O62=TRUE,G62&lt;&gt;TRUE),IFERROR(H62,0)+IFERROR(I62,0)+IFERROR(J62,0)+IFERROR(K62,0)+IFERROR(L62,0),0))</f>
        <v/>
      </c>
    </row>
    <row r="63">
      <c r="A63" s="10" t="n"/>
      <c r="B63" s="10" t="n"/>
      <c r="C63" s="11" t="n"/>
      <c r="D63" s="11" t="n"/>
      <c r="E63" s="10" t="n"/>
      <c r="F63" s="10" t="n"/>
      <c r="G63" s="12" t="n"/>
      <c r="H63" s="13" t="n"/>
      <c r="I63" s="13" t="n"/>
      <c r="J63" s="13" t="n"/>
      <c r="K63" s="13" t="n"/>
      <c r="L63" s="13" t="n"/>
      <c r="M63" s="14">
        <f>IFERROR(IF(A63="","",IFERROR(VLOOKUP(A63,Raw_PriorMonth!A:E,5,FALSE),0)),0)</f>
        <v/>
      </c>
      <c r="N63" s="14">
        <f>IF(A63="","",IFERROR(E63,0)+IFERROR(M63,0))</f>
        <v/>
      </c>
      <c r="O63" s="15">
        <f>IF(A63="","",IF(N63&gt;=28,TRUE,FALSE))</f>
        <v/>
      </c>
      <c r="P63" s="15">
        <f>IF(A63="","",OR(G63=TRUE,O63=TRUE))</f>
        <v/>
      </c>
      <c r="Q63" s="16">
        <f>IF(A63="","",IFERROR(H63,0)+IFERROR(I63,0)+IFERROR(J63,0)+IFERROR(K63,0)+IFERROR(L63,0))</f>
        <v/>
      </c>
      <c r="R63" s="16">
        <f>IF(A63="","",IF(P63=TRUE,0,Q63))</f>
        <v/>
      </c>
      <c r="S63" s="16">
        <f>IF(A63="","",IF(P63=TRUE,0,IFERROR(H63,0)))</f>
        <v/>
      </c>
      <c r="T63" s="16">
        <f>IF(A63="","",IF(P63=TRUE,0,IFERROR(I63,0)))</f>
        <v/>
      </c>
      <c r="U63" s="16">
        <f>IF(A63="","",IF(P63=TRUE,0,IFERROR(J63,0)))</f>
        <v/>
      </c>
      <c r="V63" s="16">
        <f>IF(A63="","",IF(P63=TRUE,0,IFERROR(K63,0)))</f>
        <v/>
      </c>
      <c r="W63" s="16">
        <f>IF(A63="","",IF(P63=TRUE,0,IFERROR(L63,0)))</f>
        <v/>
      </c>
      <c r="X63" s="16">
        <f>IF(A63="","",IF(P63=TRUE,0,IFERROR(H63,0)+IFERROR(I63,0)+IFERROR(L63,0)))</f>
        <v/>
      </c>
      <c r="Y63" s="16">
        <f>IF(A63="",0,IF(G63=TRUE,IFERROR(H63,0)+IFERROR(I63,0)+IFERROR(J63,0)+IFERROR(K63,0)+IFERROR(L63,0),0))</f>
        <v/>
      </c>
      <c r="Z63" s="16">
        <f>IF(A63="",0,IF(AND(O63=TRUE,G63&lt;&gt;TRUE),IFERROR(H63,0)+IFERROR(I63,0)+IFERROR(J63,0)+IFERROR(K63,0)+IFERROR(L63,0),0))</f>
        <v/>
      </c>
    </row>
    <row r="64">
      <c r="A64" s="10" t="n"/>
      <c r="B64" s="10" t="n"/>
      <c r="C64" s="11" t="n"/>
      <c r="D64" s="11" t="n"/>
      <c r="E64" s="10" t="n"/>
      <c r="F64" s="10" t="n"/>
      <c r="G64" s="12" t="n"/>
      <c r="H64" s="13" t="n"/>
      <c r="I64" s="13" t="n"/>
      <c r="J64" s="13" t="n"/>
      <c r="K64" s="13" t="n"/>
      <c r="L64" s="13" t="n"/>
      <c r="M64" s="14">
        <f>IFERROR(IF(A64="","",IFERROR(VLOOKUP(A64,Raw_PriorMonth!A:E,5,FALSE),0)),0)</f>
        <v/>
      </c>
      <c r="N64" s="14">
        <f>IF(A64="","",IFERROR(E64,0)+IFERROR(M64,0))</f>
        <v/>
      </c>
      <c r="O64" s="15">
        <f>IF(A64="","",IF(N64&gt;=28,TRUE,FALSE))</f>
        <v/>
      </c>
      <c r="P64" s="15">
        <f>IF(A64="","",OR(G64=TRUE,O64=TRUE))</f>
        <v/>
      </c>
      <c r="Q64" s="16">
        <f>IF(A64="","",IFERROR(H64,0)+IFERROR(I64,0)+IFERROR(J64,0)+IFERROR(K64,0)+IFERROR(L64,0))</f>
        <v/>
      </c>
      <c r="R64" s="16">
        <f>IF(A64="","",IF(P64=TRUE,0,Q64))</f>
        <v/>
      </c>
      <c r="S64" s="16">
        <f>IF(A64="","",IF(P64=TRUE,0,IFERROR(H64,0)))</f>
        <v/>
      </c>
      <c r="T64" s="16">
        <f>IF(A64="","",IF(P64=TRUE,0,IFERROR(I64,0)))</f>
        <v/>
      </c>
      <c r="U64" s="16">
        <f>IF(A64="","",IF(P64=TRUE,0,IFERROR(J64,0)))</f>
        <v/>
      </c>
      <c r="V64" s="16">
        <f>IF(A64="","",IF(P64=TRUE,0,IFERROR(K64,0)))</f>
        <v/>
      </c>
      <c r="W64" s="16">
        <f>IF(A64="","",IF(P64=TRUE,0,IFERROR(L64,0)))</f>
        <v/>
      </c>
      <c r="X64" s="16">
        <f>IF(A64="","",IF(P64=TRUE,0,IFERROR(H64,0)+IFERROR(I64,0)+IFERROR(L64,0)))</f>
        <v/>
      </c>
      <c r="Y64" s="16">
        <f>IF(A64="",0,IF(G64=TRUE,IFERROR(H64,0)+IFERROR(I64,0)+IFERROR(J64,0)+IFERROR(K64,0)+IFERROR(L64,0),0))</f>
        <v/>
      </c>
      <c r="Z64" s="16">
        <f>IF(A64="",0,IF(AND(O64=TRUE,G64&lt;&gt;TRUE),IFERROR(H64,0)+IFERROR(I64,0)+IFERROR(J64,0)+IFERROR(K64,0)+IFERROR(L64,0),0))</f>
        <v/>
      </c>
    </row>
    <row r="65">
      <c r="A65" s="10" t="n"/>
      <c r="B65" s="10" t="n"/>
      <c r="C65" s="11" t="n"/>
      <c r="D65" s="11" t="n"/>
      <c r="E65" s="10" t="n"/>
      <c r="F65" s="10" t="n"/>
      <c r="G65" s="12" t="n"/>
      <c r="H65" s="13" t="n"/>
      <c r="I65" s="13" t="n"/>
      <c r="J65" s="13" t="n"/>
      <c r="K65" s="13" t="n"/>
      <c r="L65" s="13" t="n"/>
      <c r="M65" s="14">
        <f>IFERROR(IF(A65="","",IFERROR(VLOOKUP(A65,Raw_PriorMonth!A:E,5,FALSE),0)),0)</f>
        <v/>
      </c>
      <c r="N65" s="14">
        <f>IF(A65="","",IFERROR(E65,0)+IFERROR(M65,0))</f>
        <v/>
      </c>
      <c r="O65" s="15">
        <f>IF(A65="","",IF(N65&gt;=28,TRUE,FALSE))</f>
        <v/>
      </c>
      <c r="P65" s="15">
        <f>IF(A65="","",OR(G65=TRUE,O65=TRUE))</f>
        <v/>
      </c>
      <c r="Q65" s="16">
        <f>IF(A65="","",IFERROR(H65,0)+IFERROR(I65,0)+IFERROR(J65,0)+IFERROR(K65,0)+IFERROR(L65,0))</f>
        <v/>
      </c>
      <c r="R65" s="16">
        <f>IF(A65="","",IF(P65=TRUE,0,Q65))</f>
        <v/>
      </c>
      <c r="S65" s="16">
        <f>IF(A65="","",IF(P65=TRUE,0,IFERROR(H65,0)))</f>
        <v/>
      </c>
      <c r="T65" s="16">
        <f>IF(A65="","",IF(P65=TRUE,0,IFERROR(I65,0)))</f>
        <v/>
      </c>
      <c r="U65" s="16">
        <f>IF(A65="","",IF(P65=TRUE,0,IFERROR(J65,0)))</f>
        <v/>
      </c>
      <c r="V65" s="16">
        <f>IF(A65="","",IF(P65=TRUE,0,IFERROR(K65,0)))</f>
        <v/>
      </c>
      <c r="W65" s="16">
        <f>IF(A65="","",IF(P65=TRUE,0,IFERROR(L65,0)))</f>
        <v/>
      </c>
      <c r="X65" s="16">
        <f>IF(A65="","",IF(P65=TRUE,0,IFERROR(H65,0)+IFERROR(I65,0)+IFERROR(L65,0)))</f>
        <v/>
      </c>
      <c r="Y65" s="16">
        <f>IF(A65="",0,IF(G65=TRUE,IFERROR(H65,0)+IFERROR(I65,0)+IFERROR(J65,0)+IFERROR(K65,0)+IFERROR(L65,0),0))</f>
        <v/>
      </c>
      <c r="Z65" s="16">
        <f>IF(A65="",0,IF(AND(O65=TRUE,G65&lt;&gt;TRUE),IFERROR(H65,0)+IFERROR(I65,0)+IFERROR(J65,0)+IFERROR(K65,0)+IFERROR(L65,0),0))</f>
        <v/>
      </c>
    </row>
    <row r="66">
      <c r="A66" s="10" t="n"/>
      <c r="B66" s="10" t="n"/>
      <c r="C66" s="11" t="n"/>
      <c r="D66" s="11" t="n"/>
      <c r="E66" s="10" t="n"/>
      <c r="F66" s="10" t="n"/>
      <c r="G66" s="12" t="n"/>
      <c r="H66" s="13" t="n"/>
      <c r="I66" s="13" t="n"/>
      <c r="J66" s="13" t="n"/>
      <c r="K66" s="13" t="n"/>
      <c r="L66" s="13" t="n"/>
      <c r="M66" s="14">
        <f>IFERROR(IF(A66="","",IFERROR(VLOOKUP(A66,Raw_PriorMonth!A:E,5,FALSE),0)),0)</f>
        <v/>
      </c>
      <c r="N66" s="14">
        <f>IF(A66="","",IFERROR(E66,0)+IFERROR(M66,0))</f>
        <v/>
      </c>
      <c r="O66" s="15">
        <f>IF(A66="","",IF(N66&gt;=28,TRUE,FALSE))</f>
        <v/>
      </c>
      <c r="P66" s="15">
        <f>IF(A66="","",OR(G66=TRUE,O66=TRUE))</f>
        <v/>
      </c>
      <c r="Q66" s="16">
        <f>IF(A66="","",IFERROR(H66,0)+IFERROR(I66,0)+IFERROR(J66,0)+IFERROR(K66,0)+IFERROR(L66,0))</f>
        <v/>
      </c>
      <c r="R66" s="16">
        <f>IF(A66="","",IF(P66=TRUE,0,Q66))</f>
        <v/>
      </c>
      <c r="S66" s="16">
        <f>IF(A66="","",IF(P66=TRUE,0,IFERROR(H66,0)))</f>
        <v/>
      </c>
      <c r="T66" s="16">
        <f>IF(A66="","",IF(P66=TRUE,0,IFERROR(I66,0)))</f>
        <v/>
      </c>
      <c r="U66" s="16">
        <f>IF(A66="","",IF(P66=TRUE,0,IFERROR(J66,0)))</f>
        <v/>
      </c>
      <c r="V66" s="16">
        <f>IF(A66="","",IF(P66=TRUE,0,IFERROR(K66,0)))</f>
        <v/>
      </c>
      <c r="W66" s="16">
        <f>IF(A66="","",IF(P66=TRUE,0,IFERROR(L66,0)))</f>
        <v/>
      </c>
      <c r="X66" s="16">
        <f>IF(A66="","",IF(P66=TRUE,0,IFERROR(H66,0)+IFERROR(I66,0)+IFERROR(L66,0)))</f>
        <v/>
      </c>
      <c r="Y66" s="16">
        <f>IF(A66="",0,IF(G66=TRUE,IFERROR(H66,0)+IFERROR(I66,0)+IFERROR(J66,0)+IFERROR(K66,0)+IFERROR(L66,0),0))</f>
        <v/>
      </c>
      <c r="Z66" s="16">
        <f>IF(A66="",0,IF(AND(O66=TRUE,G66&lt;&gt;TRUE),IFERROR(H66,0)+IFERROR(I66,0)+IFERROR(J66,0)+IFERROR(K66,0)+IFERROR(L66,0),0))</f>
        <v/>
      </c>
    </row>
    <row r="67">
      <c r="A67" s="10" t="n"/>
      <c r="B67" s="10" t="n"/>
      <c r="C67" s="11" t="n"/>
      <c r="D67" s="11" t="n"/>
      <c r="E67" s="10" t="n"/>
      <c r="F67" s="10" t="n"/>
      <c r="G67" s="12" t="n"/>
      <c r="H67" s="13" t="n"/>
      <c r="I67" s="13" t="n"/>
      <c r="J67" s="13" t="n"/>
      <c r="K67" s="13" t="n"/>
      <c r="L67" s="13" t="n"/>
      <c r="M67" s="14">
        <f>IFERROR(IF(A67="","",IFERROR(VLOOKUP(A67,Raw_PriorMonth!A:E,5,FALSE),0)),0)</f>
        <v/>
      </c>
      <c r="N67" s="14">
        <f>IF(A67="","",IFERROR(E67,0)+IFERROR(M67,0))</f>
        <v/>
      </c>
      <c r="O67" s="15">
        <f>IF(A67="","",IF(N67&gt;=28,TRUE,FALSE))</f>
        <v/>
      </c>
      <c r="P67" s="15">
        <f>IF(A67="","",OR(G67=TRUE,O67=TRUE))</f>
        <v/>
      </c>
      <c r="Q67" s="16">
        <f>IF(A67="","",IFERROR(H67,0)+IFERROR(I67,0)+IFERROR(J67,0)+IFERROR(K67,0)+IFERROR(L67,0))</f>
        <v/>
      </c>
      <c r="R67" s="16">
        <f>IF(A67="","",IF(P67=TRUE,0,Q67))</f>
        <v/>
      </c>
      <c r="S67" s="16">
        <f>IF(A67="","",IF(P67=TRUE,0,IFERROR(H67,0)))</f>
        <v/>
      </c>
      <c r="T67" s="16">
        <f>IF(A67="","",IF(P67=TRUE,0,IFERROR(I67,0)))</f>
        <v/>
      </c>
      <c r="U67" s="16">
        <f>IF(A67="","",IF(P67=TRUE,0,IFERROR(J67,0)))</f>
        <v/>
      </c>
      <c r="V67" s="16">
        <f>IF(A67="","",IF(P67=TRUE,0,IFERROR(K67,0)))</f>
        <v/>
      </c>
      <c r="W67" s="16">
        <f>IF(A67="","",IF(P67=TRUE,0,IFERROR(L67,0)))</f>
        <v/>
      </c>
      <c r="X67" s="16">
        <f>IF(A67="","",IF(P67=TRUE,0,IFERROR(H67,0)+IFERROR(I67,0)+IFERROR(L67,0)))</f>
        <v/>
      </c>
      <c r="Y67" s="16">
        <f>IF(A67="",0,IF(G67=TRUE,IFERROR(H67,0)+IFERROR(I67,0)+IFERROR(J67,0)+IFERROR(K67,0)+IFERROR(L67,0),0))</f>
        <v/>
      </c>
      <c r="Z67" s="16">
        <f>IF(A67="",0,IF(AND(O67=TRUE,G67&lt;&gt;TRUE),IFERROR(H67,0)+IFERROR(I67,0)+IFERROR(J67,0)+IFERROR(K67,0)+IFERROR(L67,0),0))</f>
        <v/>
      </c>
    </row>
    <row r="68">
      <c r="A68" s="10" t="n"/>
      <c r="B68" s="10" t="n"/>
      <c r="C68" s="11" t="n"/>
      <c r="D68" s="11" t="n"/>
      <c r="E68" s="10" t="n"/>
      <c r="F68" s="10" t="n"/>
      <c r="G68" s="12" t="n"/>
      <c r="H68" s="13" t="n"/>
      <c r="I68" s="13" t="n"/>
      <c r="J68" s="13" t="n"/>
      <c r="K68" s="13" t="n"/>
      <c r="L68" s="13" t="n"/>
      <c r="M68" s="14">
        <f>IFERROR(IF(A68="","",IFERROR(VLOOKUP(A68,Raw_PriorMonth!A:E,5,FALSE),0)),0)</f>
        <v/>
      </c>
      <c r="N68" s="14">
        <f>IF(A68="","",IFERROR(E68,0)+IFERROR(M68,0))</f>
        <v/>
      </c>
      <c r="O68" s="15">
        <f>IF(A68="","",IF(N68&gt;=28,TRUE,FALSE))</f>
        <v/>
      </c>
      <c r="P68" s="15">
        <f>IF(A68="","",OR(G68=TRUE,O68=TRUE))</f>
        <v/>
      </c>
      <c r="Q68" s="16">
        <f>IF(A68="","",IFERROR(H68,0)+IFERROR(I68,0)+IFERROR(J68,0)+IFERROR(K68,0)+IFERROR(L68,0))</f>
        <v/>
      </c>
      <c r="R68" s="16">
        <f>IF(A68="","",IF(P68=TRUE,0,Q68))</f>
        <v/>
      </c>
      <c r="S68" s="16">
        <f>IF(A68="","",IF(P68=TRUE,0,IFERROR(H68,0)))</f>
        <v/>
      </c>
      <c r="T68" s="16">
        <f>IF(A68="","",IF(P68=TRUE,0,IFERROR(I68,0)))</f>
        <v/>
      </c>
      <c r="U68" s="16">
        <f>IF(A68="","",IF(P68=TRUE,0,IFERROR(J68,0)))</f>
        <v/>
      </c>
      <c r="V68" s="16">
        <f>IF(A68="","",IF(P68=TRUE,0,IFERROR(K68,0)))</f>
        <v/>
      </c>
      <c r="W68" s="16">
        <f>IF(A68="","",IF(P68=TRUE,0,IFERROR(L68,0)))</f>
        <v/>
      </c>
      <c r="X68" s="16">
        <f>IF(A68="","",IF(P68=TRUE,0,IFERROR(H68,0)+IFERROR(I68,0)+IFERROR(L68,0)))</f>
        <v/>
      </c>
      <c r="Y68" s="16">
        <f>IF(A68="",0,IF(G68=TRUE,IFERROR(H68,0)+IFERROR(I68,0)+IFERROR(J68,0)+IFERROR(K68,0)+IFERROR(L68,0),0))</f>
        <v/>
      </c>
      <c r="Z68" s="16">
        <f>IF(A68="",0,IF(AND(O68=TRUE,G68&lt;&gt;TRUE),IFERROR(H68,0)+IFERROR(I68,0)+IFERROR(J68,0)+IFERROR(K68,0)+IFERROR(L68,0),0))</f>
        <v/>
      </c>
    </row>
    <row r="69">
      <c r="A69" s="10" t="n"/>
      <c r="B69" s="10" t="n"/>
      <c r="C69" s="11" t="n"/>
      <c r="D69" s="11" t="n"/>
      <c r="E69" s="10" t="n"/>
      <c r="F69" s="10" t="n"/>
      <c r="G69" s="12" t="n"/>
      <c r="H69" s="13" t="n"/>
      <c r="I69" s="13" t="n"/>
      <c r="J69" s="13" t="n"/>
      <c r="K69" s="13" t="n"/>
      <c r="L69" s="13" t="n"/>
      <c r="M69" s="14">
        <f>IFERROR(IF(A69="","",IFERROR(VLOOKUP(A69,Raw_PriorMonth!A:E,5,FALSE),0)),0)</f>
        <v/>
      </c>
      <c r="N69" s="14">
        <f>IF(A69="","",IFERROR(E69,0)+IFERROR(M69,0))</f>
        <v/>
      </c>
      <c r="O69" s="15">
        <f>IF(A69="","",IF(N69&gt;=28,TRUE,FALSE))</f>
        <v/>
      </c>
      <c r="P69" s="15">
        <f>IF(A69="","",OR(G69=TRUE,O69=TRUE))</f>
        <v/>
      </c>
      <c r="Q69" s="16">
        <f>IF(A69="","",IFERROR(H69,0)+IFERROR(I69,0)+IFERROR(J69,0)+IFERROR(K69,0)+IFERROR(L69,0))</f>
        <v/>
      </c>
      <c r="R69" s="16">
        <f>IF(A69="","",IF(P69=TRUE,0,Q69))</f>
        <v/>
      </c>
      <c r="S69" s="16">
        <f>IF(A69="","",IF(P69=TRUE,0,IFERROR(H69,0)))</f>
        <v/>
      </c>
      <c r="T69" s="16">
        <f>IF(A69="","",IF(P69=TRUE,0,IFERROR(I69,0)))</f>
        <v/>
      </c>
      <c r="U69" s="16">
        <f>IF(A69="","",IF(P69=TRUE,0,IFERROR(J69,0)))</f>
        <v/>
      </c>
      <c r="V69" s="16">
        <f>IF(A69="","",IF(P69=TRUE,0,IFERROR(K69,0)))</f>
        <v/>
      </c>
      <c r="W69" s="16">
        <f>IF(A69="","",IF(P69=TRUE,0,IFERROR(L69,0)))</f>
        <v/>
      </c>
      <c r="X69" s="16">
        <f>IF(A69="","",IF(P69=TRUE,0,IFERROR(H69,0)+IFERROR(I69,0)+IFERROR(L69,0)))</f>
        <v/>
      </c>
      <c r="Y69" s="16">
        <f>IF(A69="",0,IF(G69=TRUE,IFERROR(H69,0)+IFERROR(I69,0)+IFERROR(J69,0)+IFERROR(K69,0)+IFERROR(L69,0),0))</f>
        <v/>
      </c>
      <c r="Z69" s="16">
        <f>IF(A69="",0,IF(AND(O69=TRUE,G69&lt;&gt;TRUE),IFERROR(H69,0)+IFERROR(I69,0)+IFERROR(J69,0)+IFERROR(K69,0)+IFERROR(L69,0),0))</f>
        <v/>
      </c>
    </row>
    <row r="70">
      <c r="A70" s="10" t="n"/>
      <c r="B70" s="10" t="n"/>
      <c r="C70" s="11" t="n"/>
      <c r="D70" s="11" t="n"/>
      <c r="E70" s="10" t="n"/>
      <c r="F70" s="10" t="n"/>
      <c r="G70" s="12" t="n"/>
      <c r="H70" s="13" t="n"/>
      <c r="I70" s="13" t="n"/>
      <c r="J70" s="13" t="n"/>
      <c r="K70" s="13" t="n"/>
      <c r="L70" s="13" t="n"/>
      <c r="M70" s="14">
        <f>IFERROR(IF(A70="","",IFERROR(VLOOKUP(A70,Raw_PriorMonth!A:E,5,FALSE),0)),0)</f>
        <v/>
      </c>
      <c r="N70" s="14">
        <f>IF(A70="","",IFERROR(E70,0)+IFERROR(M70,0))</f>
        <v/>
      </c>
      <c r="O70" s="15">
        <f>IF(A70="","",IF(N70&gt;=28,TRUE,FALSE))</f>
        <v/>
      </c>
      <c r="P70" s="15">
        <f>IF(A70="","",OR(G70=TRUE,O70=TRUE))</f>
        <v/>
      </c>
      <c r="Q70" s="16">
        <f>IF(A70="","",IFERROR(H70,0)+IFERROR(I70,0)+IFERROR(J70,0)+IFERROR(K70,0)+IFERROR(L70,0))</f>
        <v/>
      </c>
      <c r="R70" s="16">
        <f>IF(A70="","",IF(P70=TRUE,0,Q70))</f>
        <v/>
      </c>
      <c r="S70" s="16">
        <f>IF(A70="","",IF(P70=TRUE,0,IFERROR(H70,0)))</f>
        <v/>
      </c>
      <c r="T70" s="16">
        <f>IF(A70="","",IF(P70=TRUE,0,IFERROR(I70,0)))</f>
        <v/>
      </c>
      <c r="U70" s="16">
        <f>IF(A70="","",IF(P70=TRUE,0,IFERROR(J70,0)))</f>
        <v/>
      </c>
      <c r="V70" s="16">
        <f>IF(A70="","",IF(P70=TRUE,0,IFERROR(K70,0)))</f>
        <v/>
      </c>
      <c r="W70" s="16">
        <f>IF(A70="","",IF(P70=TRUE,0,IFERROR(L70,0)))</f>
        <v/>
      </c>
      <c r="X70" s="16">
        <f>IF(A70="","",IF(P70=TRUE,0,IFERROR(H70,0)+IFERROR(I70,0)+IFERROR(L70,0)))</f>
        <v/>
      </c>
      <c r="Y70" s="16">
        <f>IF(A70="",0,IF(G70=TRUE,IFERROR(H70,0)+IFERROR(I70,0)+IFERROR(J70,0)+IFERROR(K70,0)+IFERROR(L70,0),0))</f>
        <v/>
      </c>
      <c r="Z70" s="16">
        <f>IF(A70="",0,IF(AND(O70=TRUE,G70&lt;&gt;TRUE),IFERROR(H70,0)+IFERROR(I70,0)+IFERROR(J70,0)+IFERROR(K70,0)+IFERROR(L70,0),0))</f>
        <v/>
      </c>
    </row>
    <row r="71">
      <c r="A71" s="10" t="n"/>
      <c r="B71" s="10" t="n"/>
      <c r="C71" s="11" t="n"/>
      <c r="D71" s="11" t="n"/>
      <c r="E71" s="10" t="n"/>
      <c r="F71" s="10" t="n"/>
      <c r="G71" s="12" t="n"/>
      <c r="H71" s="13" t="n"/>
      <c r="I71" s="13" t="n"/>
      <c r="J71" s="13" t="n"/>
      <c r="K71" s="13" t="n"/>
      <c r="L71" s="13" t="n"/>
      <c r="M71" s="14">
        <f>IFERROR(IF(A71="","",IFERROR(VLOOKUP(A71,Raw_PriorMonth!A:E,5,FALSE),0)),0)</f>
        <v/>
      </c>
      <c r="N71" s="14">
        <f>IF(A71="","",IFERROR(E71,0)+IFERROR(M71,0))</f>
        <v/>
      </c>
      <c r="O71" s="15">
        <f>IF(A71="","",IF(N71&gt;=28,TRUE,FALSE))</f>
        <v/>
      </c>
      <c r="P71" s="15">
        <f>IF(A71="","",OR(G71=TRUE,O71=TRUE))</f>
        <v/>
      </c>
      <c r="Q71" s="16">
        <f>IF(A71="","",IFERROR(H71,0)+IFERROR(I71,0)+IFERROR(J71,0)+IFERROR(K71,0)+IFERROR(L71,0))</f>
        <v/>
      </c>
      <c r="R71" s="16">
        <f>IF(A71="","",IF(P71=TRUE,0,Q71))</f>
        <v/>
      </c>
      <c r="S71" s="16">
        <f>IF(A71="","",IF(P71=TRUE,0,IFERROR(H71,0)))</f>
        <v/>
      </c>
      <c r="T71" s="16">
        <f>IF(A71="","",IF(P71=TRUE,0,IFERROR(I71,0)))</f>
        <v/>
      </c>
      <c r="U71" s="16">
        <f>IF(A71="","",IF(P71=TRUE,0,IFERROR(J71,0)))</f>
        <v/>
      </c>
      <c r="V71" s="16">
        <f>IF(A71="","",IF(P71=TRUE,0,IFERROR(K71,0)))</f>
        <v/>
      </c>
      <c r="W71" s="16">
        <f>IF(A71="","",IF(P71=TRUE,0,IFERROR(L71,0)))</f>
        <v/>
      </c>
      <c r="X71" s="16">
        <f>IF(A71="","",IF(P71=TRUE,0,IFERROR(H71,0)+IFERROR(I71,0)+IFERROR(L71,0)))</f>
        <v/>
      </c>
      <c r="Y71" s="16">
        <f>IF(A71="",0,IF(G71=TRUE,IFERROR(H71,0)+IFERROR(I71,0)+IFERROR(J71,0)+IFERROR(K71,0)+IFERROR(L71,0),0))</f>
        <v/>
      </c>
      <c r="Z71" s="16">
        <f>IF(A71="",0,IF(AND(O71=TRUE,G71&lt;&gt;TRUE),IFERROR(H71,0)+IFERROR(I71,0)+IFERROR(J71,0)+IFERROR(K71,0)+IFERROR(L71,0),0))</f>
        <v/>
      </c>
    </row>
    <row r="72">
      <c r="A72" s="10" t="n"/>
      <c r="B72" s="10" t="n"/>
      <c r="C72" s="11" t="n"/>
      <c r="D72" s="11" t="n"/>
      <c r="E72" s="10" t="n"/>
      <c r="F72" s="10" t="n"/>
      <c r="G72" s="12" t="n"/>
      <c r="H72" s="13" t="n"/>
      <c r="I72" s="13" t="n"/>
      <c r="J72" s="13" t="n"/>
      <c r="K72" s="13" t="n"/>
      <c r="L72" s="13" t="n"/>
      <c r="M72" s="14">
        <f>IFERROR(IF(A72="","",IFERROR(VLOOKUP(A72,Raw_PriorMonth!A:E,5,FALSE),0)),0)</f>
        <v/>
      </c>
      <c r="N72" s="14">
        <f>IF(A72="","",IFERROR(E72,0)+IFERROR(M72,0))</f>
        <v/>
      </c>
      <c r="O72" s="15">
        <f>IF(A72="","",IF(N72&gt;=28,TRUE,FALSE))</f>
        <v/>
      </c>
      <c r="P72" s="15">
        <f>IF(A72="","",OR(G72=TRUE,O72=TRUE))</f>
        <v/>
      </c>
      <c r="Q72" s="16">
        <f>IF(A72="","",IFERROR(H72,0)+IFERROR(I72,0)+IFERROR(J72,0)+IFERROR(K72,0)+IFERROR(L72,0))</f>
        <v/>
      </c>
      <c r="R72" s="16">
        <f>IF(A72="","",IF(P72=TRUE,0,Q72))</f>
        <v/>
      </c>
      <c r="S72" s="16">
        <f>IF(A72="","",IF(P72=TRUE,0,IFERROR(H72,0)))</f>
        <v/>
      </c>
      <c r="T72" s="16">
        <f>IF(A72="","",IF(P72=TRUE,0,IFERROR(I72,0)))</f>
        <v/>
      </c>
      <c r="U72" s="16">
        <f>IF(A72="","",IF(P72=TRUE,0,IFERROR(J72,0)))</f>
        <v/>
      </c>
      <c r="V72" s="16">
        <f>IF(A72="","",IF(P72=TRUE,0,IFERROR(K72,0)))</f>
        <v/>
      </c>
      <c r="W72" s="16">
        <f>IF(A72="","",IF(P72=TRUE,0,IFERROR(L72,0)))</f>
        <v/>
      </c>
      <c r="X72" s="16">
        <f>IF(A72="","",IF(P72=TRUE,0,IFERROR(H72,0)+IFERROR(I72,0)+IFERROR(L72,0)))</f>
        <v/>
      </c>
      <c r="Y72" s="16">
        <f>IF(A72="",0,IF(G72=TRUE,IFERROR(H72,0)+IFERROR(I72,0)+IFERROR(J72,0)+IFERROR(K72,0)+IFERROR(L72,0),0))</f>
        <v/>
      </c>
      <c r="Z72" s="16">
        <f>IF(A72="",0,IF(AND(O72=TRUE,G72&lt;&gt;TRUE),IFERROR(H72,0)+IFERROR(I72,0)+IFERROR(J72,0)+IFERROR(K72,0)+IFERROR(L72,0),0))</f>
        <v/>
      </c>
    </row>
    <row r="73">
      <c r="A73" s="10" t="n"/>
      <c r="B73" s="10" t="n"/>
      <c r="C73" s="11" t="n"/>
      <c r="D73" s="11" t="n"/>
      <c r="E73" s="10" t="n"/>
      <c r="F73" s="10" t="n"/>
      <c r="G73" s="12" t="n"/>
      <c r="H73" s="13" t="n"/>
      <c r="I73" s="13" t="n"/>
      <c r="J73" s="13" t="n"/>
      <c r="K73" s="13" t="n"/>
      <c r="L73" s="13" t="n"/>
      <c r="M73" s="14">
        <f>IFERROR(IF(A73="","",IFERROR(VLOOKUP(A73,Raw_PriorMonth!A:E,5,FALSE),0)),0)</f>
        <v/>
      </c>
      <c r="N73" s="14">
        <f>IF(A73="","",IFERROR(E73,0)+IFERROR(M73,0))</f>
        <v/>
      </c>
      <c r="O73" s="15">
        <f>IF(A73="","",IF(N73&gt;=28,TRUE,FALSE))</f>
        <v/>
      </c>
      <c r="P73" s="15">
        <f>IF(A73="","",OR(G73=TRUE,O73=TRUE))</f>
        <v/>
      </c>
      <c r="Q73" s="16">
        <f>IF(A73="","",IFERROR(H73,0)+IFERROR(I73,0)+IFERROR(J73,0)+IFERROR(K73,0)+IFERROR(L73,0))</f>
        <v/>
      </c>
      <c r="R73" s="16">
        <f>IF(A73="","",IF(P73=TRUE,0,Q73))</f>
        <v/>
      </c>
      <c r="S73" s="16">
        <f>IF(A73="","",IF(P73=TRUE,0,IFERROR(H73,0)))</f>
        <v/>
      </c>
      <c r="T73" s="16">
        <f>IF(A73="","",IF(P73=TRUE,0,IFERROR(I73,0)))</f>
        <v/>
      </c>
      <c r="U73" s="16">
        <f>IF(A73="","",IF(P73=TRUE,0,IFERROR(J73,0)))</f>
        <v/>
      </c>
      <c r="V73" s="16">
        <f>IF(A73="","",IF(P73=TRUE,0,IFERROR(K73,0)))</f>
        <v/>
      </c>
      <c r="W73" s="16">
        <f>IF(A73="","",IF(P73=TRUE,0,IFERROR(L73,0)))</f>
        <v/>
      </c>
      <c r="X73" s="16">
        <f>IF(A73="","",IF(P73=TRUE,0,IFERROR(H73,0)+IFERROR(I73,0)+IFERROR(L73,0)))</f>
        <v/>
      </c>
      <c r="Y73" s="16">
        <f>IF(A73="",0,IF(G73=TRUE,IFERROR(H73,0)+IFERROR(I73,0)+IFERROR(J73,0)+IFERROR(K73,0)+IFERROR(L73,0),0))</f>
        <v/>
      </c>
      <c r="Z73" s="16">
        <f>IF(A73="",0,IF(AND(O73=TRUE,G73&lt;&gt;TRUE),IFERROR(H73,0)+IFERROR(I73,0)+IFERROR(J73,0)+IFERROR(K73,0)+IFERROR(L73,0),0))</f>
        <v/>
      </c>
    </row>
    <row r="74">
      <c r="A74" s="10" t="n"/>
      <c r="B74" s="10" t="n"/>
      <c r="C74" s="11" t="n"/>
      <c r="D74" s="11" t="n"/>
      <c r="E74" s="10" t="n"/>
      <c r="F74" s="10" t="n"/>
      <c r="G74" s="12" t="n"/>
      <c r="H74" s="13" t="n"/>
      <c r="I74" s="13" t="n"/>
      <c r="J74" s="13" t="n"/>
      <c r="K74" s="13" t="n"/>
      <c r="L74" s="13" t="n"/>
      <c r="M74" s="14">
        <f>IFERROR(IF(A74="","",IFERROR(VLOOKUP(A74,Raw_PriorMonth!A:E,5,FALSE),0)),0)</f>
        <v/>
      </c>
      <c r="N74" s="14">
        <f>IF(A74="","",IFERROR(E74,0)+IFERROR(M74,0))</f>
        <v/>
      </c>
      <c r="O74" s="15">
        <f>IF(A74="","",IF(N74&gt;=28,TRUE,FALSE))</f>
        <v/>
      </c>
      <c r="P74" s="15">
        <f>IF(A74="","",OR(G74=TRUE,O74=TRUE))</f>
        <v/>
      </c>
      <c r="Q74" s="16">
        <f>IF(A74="","",IFERROR(H74,0)+IFERROR(I74,0)+IFERROR(J74,0)+IFERROR(K74,0)+IFERROR(L74,0))</f>
        <v/>
      </c>
      <c r="R74" s="16">
        <f>IF(A74="","",IF(P74=TRUE,0,Q74))</f>
        <v/>
      </c>
      <c r="S74" s="16">
        <f>IF(A74="","",IF(P74=TRUE,0,IFERROR(H74,0)))</f>
        <v/>
      </c>
      <c r="T74" s="16">
        <f>IF(A74="","",IF(P74=TRUE,0,IFERROR(I74,0)))</f>
        <v/>
      </c>
      <c r="U74" s="16">
        <f>IF(A74="","",IF(P74=TRUE,0,IFERROR(J74,0)))</f>
        <v/>
      </c>
      <c r="V74" s="16">
        <f>IF(A74="","",IF(P74=TRUE,0,IFERROR(K74,0)))</f>
        <v/>
      </c>
      <c r="W74" s="16">
        <f>IF(A74="","",IF(P74=TRUE,0,IFERROR(L74,0)))</f>
        <v/>
      </c>
      <c r="X74" s="16">
        <f>IF(A74="","",IF(P74=TRUE,0,IFERROR(H74,0)+IFERROR(I74,0)+IFERROR(L74,0)))</f>
        <v/>
      </c>
      <c r="Y74" s="16">
        <f>IF(A74="",0,IF(G74=TRUE,IFERROR(H74,0)+IFERROR(I74,0)+IFERROR(J74,0)+IFERROR(K74,0)+IFERROR(L74,0),0))</f>
        <v/>
      </c>
      <c r="Z74" s="16">
        <f>IF(A74="",0,IF(AND(O74=TRUE,G74&lt;&gt;TRUE),IFERROR(H74,0)+IFERROR(I74,0)+IFERROR(J74,0)+IFERROR(K74,0)+IFERROR(L74,0),0))</f>
        <v/>
      </c>
    </row>
    <row r="75">
      <c r="A75" s="10" t="n"/>
      <c r="B75" s="10" t="n"/>
      <c r="C75" s="11" t="n"/>
      <c r="D75" s="11" t="n"/>
      <c r="E75" s="10" t="n"/>
      <c r="F75" s="10" t="n"/>
      <c r="G75" s="12" t="n"/>
      <c r="H75" s="13" t="n"/>
      <c r="I75" s="13" t="n"/>
      <c r="J75" s="13" t="n"/>
      <c r="K75" s="13" t="n"/>
      <c r="L75" s="13" t="n"/>
      <c r="M75" s="14">
        <f>IFERROR(IF(A75="","",IFERROR(VLOOKUP(A75,Raw_PriorMonth!A:E,5,FALSE),0)),0)</f>
        <v/>
      </c>
      <c r="N75" s="14">
        <f>IF(A75="","",IFERROR(E75,0)+IFERROR(M75,0))</f>
        <v/>
      </c>
      <c r="O75" s="15">
        <f>IF(A75="","",IF(N75&gt;=28,TRUE,FALSE))</f>
        <v/>
      </c>
      <c r="P75" s="15">
        <f>IF(A75="","",OR(G75=TRUE,O75=TRUE))</f>
        <v/>
      </c>
      <c r="Q75" s="16">
        <f>IF(A75="","",IFERROR(H75,0)+IFERROR(I75,0)+IFERROR(J75,0)+IFERROR(K75,0)+IFERROR(L75,0))</f>
        <v/>
      </c>
      <c r="R75" s="16">
        <f>IF(A75="","",IF(P75=TRUE,0,Q75))</f>
        <v/>
      </c>
      <c r="S75" s="16">
        <f>IF(A75="","",IF(P75=TRUE,0,IFERROR(H75,0)))</f>
        <v/>
      </c>
      <c r="T75" s="16">
        <f>IF(A75="","",IF(P75=TRUE,0,IFERROR(I75,0)))</f>
        <v/>
      </c>
      <c r="U75" s="16">
        <f>IF(A75="","",IF(P75=TRUE,0,IFERROR(J75,0)))</f>
        <v/>
      </c>
      <c r="V75" s="16">
        <f>IF(A75="","",IF(P75=TRUE,0,IFERROR(K75,0)))</f>
        <v/>
      </c>
      <c r="W75" s="16">
        <f>IF(A75="","",IF(P75=TRUE,0,IFERROR(L75,0)))</f>
        <v/>
      </c>
      <c r="X75" s="16">
        <f>IF(A75="","",IF(P75=TRUE,0,IFERROR(H75,0)+IFERROR(I75,0)+IFERROR(L75,0)))</f>
        <v/>
      </c>
      <c r="Y75" s="16">
        <f>IF(A75="",0,IF(G75=TRUE,IFERROR(H75,0)+IFERROR(I75,0)+IFERROR(J75,0)+IFERROR(K75,0)+IFERROR(L75,0),0))</f>
        <v/>
      </c>
      <c r="Z75" s="16">
        <f>IF(A75="",0,IF(AND(O75=TRUE,G75&lt;&gt;TRUE),IFERROR(H75,0)+IFERROR(I75,0)+IFERROR(J75,0)+IFERROR(K75,0)+IFERROR(L75,0),0))</f>
        <v/>
      </c>
    </row>
    <row r="76">
      <c r="A76" s="10" t="n"/>
      <c r="B76" s="10" t="n"/>
      <c r="C76" s="11" t="n"/>
      <c r="D76" s="11" t="n"/>
      <c r="E76" s="10" t="n"/>
      <c r="F76" s="10" t="n"/>
      <c r="G76" s="12" t="n"/>
      <c r="H76" s="13" t="n"/>
      <c r="I76" s="13" t="n"/>
      <c r="J76" s="13" t="n"/>
      <c r="K76" s="13" t="n"/>
      <c r="L76" s="13" t="n"/>
      <c r="M76" s="14">
        <f>IFERROR(IF(A76="","",IFERROR(VLOOKUP(A76,Raw_PriorMonth!A:E,5,FALSE),0)),0)</f>
        <v/>
      </c>
      <c r="N76" s="14">
        <f>IF(A76="","",IFERROR(E76,0)+IFERROR(M76,0))</f>
        <v/>
      </c>
      <c r="O76" s="15">
        <f>IF(A76="","",IF(N76&gt;=28,TRUE,FALSE))</f>
        <v/>
      </c>
      <c r="P76" s="15">
        <f>IF(A76="","",OR(G76=TRUE,O76=TRUE))</f>
        <v/>
      </c>
      <c r="Q76" s="16">
        <f>IF(A76="","",IFERROR(H76,0)+IFERROR(I76,0)+IFERROR(J76,0)+IFERROR(K76,0)+IFERROR(L76,0))</f>
        <v/>
      </c>
      <c r="R76" s="16">
        <f>IF(A76="","",IF(P76=TRUE,0,Q76))</f>
        <v/>
      </c>
      <c r="S76" s="16">
        <f>IF(A76="","",IF(P76=TRUE,0,IFERROR(H76,0)))</f>
        <v/>
      </c>
      <c r="T76" s="16">
        <f>IF(A76="","",IF(P76=TRUE,0,IFERROR(I76,0)))</f>
        <v/>
      </c>
      <c r="U76" s="16">
        <f>IF(A76="","",IF(P76=TRUE,0,IFERROR(J76,0)))</f>
        <v/>
      </c>
      <c r="V76" s="16">
        <f>IF(A76="","",IF(P76=TRUE,0,IFERROR(K76,0)))</f>
        <v/>
      </c>
      <c r="W76" s="16">
        <f>IF(A76="","",IF(P76=TRUE,0,IFERROR(L76,0)))</f>
        <v/>
      </c>
      <c r="X76" s="16">
        <f>IF(A76="","",IF(P76=TRUE,0,IFERROR(H76,0)+IFERROR(I76,0)+IFERROR(L76,0)))</f>
        <v/>
      </c>
      <c r="Y76" s="16">
        <f>IF(A76="",0,IF(G76=TRUE,IFERROR(H76,0)+IFERROR(I76,0)+IFERROR(J76,0)+IFERROR(K76,0)+IFERROR(L76,0),0))</f>
        <v/>
      </c>
      <c r="Z76" s="16">
        <f>IF(A76="",0,IF(AND(O76=TRUE,G76&lt;&gt;TRUE),IFERROR(H76,0)+IFERROR(I76,0)+IFERROR(J76,0)+IFERROR(K76,0)+IFERROR(L76,0),0))</f>
        <v/>
      </c>
    </row>
    <row r="77">
      <c r="A77" s="10" t="n"/>
      <c r="B77" s="10" t="n"/>
      <c r="C77" s="11" t="n"/>
      <c r="D77" s="11" t="n"/>
      <c r="E77" s="10" t="n"/>
      <c r="F77" s="10" t="n"/>
      <c r="G77" s="12" t="n"/>
      <c r="H77" s="13" t="n"/>
      <c r="I77" s="13" t="n"/>
      <c r="J77" s="13" t="n"/>
      <c r="K77" s="13" t="n"/>
      <c r="L77" s="13" t="n"/>
      <c r="M77" s="14">
        <f>IFERROR(IF(A77="","",IFERROR(VLOOKUP(A77,Raw_PriorMonth!A:E,5,FALSE),0)),0)</f>
        <v/>
      </c>
      <c r="N77" s="14">
        <f>IF(A77="","",IFERROR(E77,0)+IFERROR(M77,0))</f>
        <v/>
      </c>
      <c r="O77" s="15">
        <f>IF(A77="","",IF(N77&gt;=28,TRUE,FALSE))</f>
        <v/>
      </c>
      <c r="P77" s="15">
        <f>IF(A77="","",OR(G77=TRUE,O77=TRUE))</f>
        <v/>
      </c>
      <c r="Q77" s="16">
        <f>IF(A77="","",IFERROR(H77,0)+IFERROR(I77,0)+IFERROR(J77,0)+IFERROR(K77,0)+IFERROR(L77,0))</f>
        <v/>
      </c>
      <c r="R77" s="16">
        <f>IF(A77="","",IF(P77=TRUE,0,Q77))</f>
        <v/>
      </c>
      <c r="S77" s="16">
        <f>IF(A77="","",IF(P77=TRUE,0,IFERROR(H77,0)))</f>
        <v/>
      </c>
      <c r="T77" s="16">
        <f>IF(A77="","",IF(P77=TRUE,0,IFERROR(I77,0)))</f>
        <v/>
      </c>
      <c r="U77" s="16">
        <f>IF(A77="","",IF(P77=TRUE,0,IFERROR(J77,0)))</f>
        <v/>
      </c>
      <c r="V77" s="16">
        <f>IF(A77="","",IF(P77=TRUE,0,IFERROR(K77,0)))</f>
        <v/>
      </c>
      <c r="W77" s="16">
        <f>IF(A77="","",IF(P77=TRUE,0,IFERROR(L77,0)))</f>
        <v/>
      </c>
      <c r="X77" s="16">
        <f>IF(A77="","",IF(P77=TRUE,0,IFERROR(H77,0)+IFERROR(I77,0)+IFERROR(L77,0)))</f>
        <v/>
      </c>
      <c r="Y77" s="16">
        <f>IF(A77="",0,IF(G77=TRUE,IFERROR(H77,0)+IFERROR(I77,0)+IFERROR(J77,0)+IFERROR(K77,0)+IFERROR(L77,0),0))</f>
        <v/>
      </c>
      <c r="Z77" s="16">
        <f>IF(A77="",0,IF(AND(O77=TRUE,G77&lt;&gt;TRUE),IFERROR(H77,0)+IFERROR(I77,0)+IFERROR(J77,0)+IFERROR(K77,0)+IFERROR(L77,0),0))</f>
        <v/>
      </c>
    </row>
    <row r="78">
      <c r="A78" s="10" t="n"/>
      <c r="B78" s="10" t="n"/>
      <c r="C78" s="11" t="n"/>
      <c r="D78" s="11" t="n"/>
      <c r="E78" s="10" t="n"/>
      <c r="F78" s="10" t="n"/>
      <c r="G78" s="12" t="n"/>
      <c r="H78" s="13" t="n"/>
      <c r="I78" s="13" t="n"/>
      <c r="J78" s="13" t="n"/>
      <c r="K78" s="13" t="n"/>
      <c r="L78" s="13" t="n"/>
      <c r="M78" s="14">
        <f>IFERROR(IF(A78="","",IFERROR(VLOOKUP(A78,Raw_PriorMonth!A:E,5,FALSE),0)),0)</f>
        <v/>
      </c>
      <c r="N78" s="14">
        <f>IF(A78="","",IFERROR(E78,0)+IFERROR(M78,0))</f>
        <v/>
      </c>
      <c r="O78" s="15">
        <f>IF(A78="","",IF(N78&gt;=28,TRUE,FALSE))</f>
        <v/>
      </c>
      <c r="P78" s="15">
        <f>IF(A78="","",OR(G78=TRUE,O78=TRUE))</f>
        <v/>
      </c>
      <c r="Q78" s="16">
        <f>IF(A78="","",IFERROR(H78,0)+IFERROR(I78,0)+IFERROR(J78,0)+IFERROR(K78,0)+IFERROR(L78,0))</f>
        <v/>
      </c>
      <c r="R78" s="16">
        <f>IF(A78="","",IF(P78=TRUE,0,Q78))</f>
        <v/>
      </c>
      <c r="S78" s="16">
        <f>IF(A78="","",IF(P78=TRUE,0,IFERROR(H78,0)))</f>
        <v/>
      </c>
      <c r="T78" s="16">
        <f>IF(A78="","",IF(P78=TRUE,0,IFERROR(I78,0)))</f>
        <v/>
      </c>
      <c r="U78" s="16">
        <f>IF(A78="","",IF(P78=TRUE,0,IFERROR(J78,0)))</f>
        <v/>
      </c>
      <c r="V78" s="16">
        <f>IF(A78="","",IF(P78=TRUE,0,IFERROR(K78,0)))</f>
        <v/>
      </c>
      <c r="W78" s="16">
        <f>IF(A78="","",IF(P78=TRUE,0,IFERROR(L78,0)))</f>
        <v/>
      </c>
      <c r="X78" s="16">
        <f>IF(A78="","",IF(P78=TRUE,0,IFERROR(H78,0)+IFERROR(I78,0)+IFERROR(L78,0)))</f>
        <v/>
      </c>
      <c r="Y78" s="16">
        <f>IF(A78="",0,IF(G78=TRUE,IFERROR(H78,0)+IFERROR(I78,0)+IFERROR(J78,0)+IFERROR(K78,0)+IFERROR(L78,0),0))</f>
        <v/>
      </c>
      <c r="Z78" s="16">
        <f>IF(A78="",0,IF(AND(O78=TRUE,G78&lt;&gt;TRUE),IFERROR(H78,0)+IFERROR(I78,0)+IFERROR(J78,0)+IFERROR(K78,0)+IFERROR(L78,0),0))</f>
        <v/>
      </c>
    </row>
    <row r="79">
      <c r="A79" s="10" t="n"/>
      <c r="B79" s="10" t="n"/>
      <c r="C79" s="11" t="n"/>
      <c r="D79" s="11" t="n"/>
      <c r="E79" s="10" t="n"/>
      <c r="F79" s="10" t="n"/>
      <c r="G79" s="12" t="n"/>
      <c r="H79" s="13" t="n"/>
      <c r="I79" s="13" t="n"/>
      <c r="J79" s="13" t="n"/>
      <c r="K79" s="13" t="n"/>
      <c r="L79" s="13" t="n"/>
      <c r="M79" s="14">
        <f>IFERROR(IF(A79="","",IFERROR(VLOOKUP(A79,Raw_PriorMonth!A:E,5,FALSE),0)),0)</f>
        <v/>
      </c>
      <c r="N79" s="14">
        <f>IF(A79="","",IFERROR(E79,0)+IFERROR(M79,0))</f>
        <v/>
      </c>
      <c r="O79" s="15">
        <f>IF(A79="","",IF(N79&gt;=28,TRUE,FALSE))</f>
        <v/>
      </c>
      <c r="P79" s="15">
        <f>IF(A79="","",OR(G79=TRUE,O79=TRUE))</f>
        <v/>
      </c>
      <c r="Q79" s="16">
        <f>IF(A79="","",IFERROR(H79,0)+IFERROR(I79,0)+IFERROR(J79,0)+IFERROR(K79,0)+IFERROR(L79,0))</f>
        <v/>
      </c>
      <c r="R79" s="16">
        <f>IF(A79="","",IF(P79=TRUE,0,Q79))</f>
        <v/>
      </c>
      <c r="S79" s="16">
        <f>IF(A79="","",IF(P79=TRUE,0,IFERROR(H79,0)))</f>
        <v/>
      </c>
      <c r="T79" s="16">
        <f>IF(A79="","",IF(P79=TRUE,0,IFERROR(I79,0)))</f>
        <v/>
      </c>
      <c r="U79" s="16">
        <f>IF(A79="","",IF(P79=TRUE,0,IFERROR(J79,0)))</f>
        <v/>
      </c>
      <c r="V79" s="16">
        <f>IF(A79="","",IF(P79=TRUE,0,IFERROR(K79,0)))</f>
        <v/>
      </c>
      <c r="W79" s="16">
        <f>IF(A79="","",IF(P79=TRUE,0,IFERROR(L79,0)))</f>
        <v/>
      </c>
      <c r="X79" s="16">
        <f>IF(A79="","",IF(P79=TRUE,0,IFERROR(H79,0)+IFERROR(I79,0)+IFERROR(L79,0)))</f>
        <v/>
      </c>
      <c r="Y79" s="16">
        <f>IF(A79="",0,IF(G79=TRUE,IFERROR(H79,0)+IFERROR(I79,0)+IFERROR(J79,0)+IFERROR(K79,0)+IFERROR(L79,0),0))</f>
        <v/>
      </c>
      <c r="Z79" s="16">
        <f>IF(A79="",0,IF(AND(O79=TRUE,G79&lt;&gt;TRUE),IFERROR(H79,0)+IFERROR(I79,0)+IFERROR(J79,0)+IFERROR(K79,0)+IFERROR(L79,0),0))</f>
        <v/>
      </c>
    </row>
    <row r="80">
      <c r="A80" s="10" t="n"/>
      <c r="B80" s="10" t="n"/>
      <c r="C80" s="11" t="n"/>
      <c r="D80" s="11" t="n"/>
      <c r="E80" s="10" t="n"/>
      <c r="F80" s="10" t="n"/>
      <c r="G80" s="12" t="n"/>
      <c r="H80" s="13" t="n"/>
      <c r="I80" s="13" t="n"/>
      <c r="J80" s="13" t="n"/>
      <c r="K80" s="13" t="n"/>
      <c r="L80" s="13" t="n"/>
      <c r="M80" s="14">
        <f>IFERROR(IF(A80="","",IFERROR(VLOOKUP(A80,Raw_PriorMonth!A:E,5,FALSE),0)),0)</f>
        <v/>
      </c>
      <c r="N80" s="14">
        <f>IF(A80="","",IFERROR(E80,0)+IFERROR(M80,0))</f>
        <v/>
      </c>
      <c r="O80" s="15">
        <f>IF(A80="","",IF(N80&gt;=28,TRUE,FALSE))</f>
        <v/>
      </c>
      <c r="P80" s="15">
        <f>IF(A80="","",OR(G80=TRUE,O80=TRUE))</f>
        <v/>
      </c>
      <c r="Q80" s="16">
        <f>IF(A80="","",IFERROR(H80,0)+IFERROR(I80,0)+IFERROR(J80,0)+IFERROR(K80,0)+IFERROR(L80,0))</f>
        <v/>
      </c>
      <c r="R80" s="16">
        <f>IF(A80="","",IF(P80=TRUE,0,Q80))</f>
        <v/>
      </c>
      <c r="S80" s="16">
        <f>IF(A80="","",IF(P80=TRUE,0,IFERROR(H80,0)))</f>
        <v/>
      </c>
      <c r="T80" s="16">
        <f>IF(A80="","",IF(P80=TRUE,0,IFERROR(I80,0)))</f>
        <v/>
      </c>
      <c r="U80" s="16">
        <f>IF(A80="","",IF(P80=TRUE,0,IFERROR(J80,0)))</f>
        <v/>
      </c>
      <c r="V80" s="16">
        <f>IF(A80="","",IF(P80=TRUE,0,IFERROR(K80,0)))</f>
        <v/>
      </c>
      <c r="W80" s="16">
        <f>IF(A80="","",IF(P80=TRUE,0,IFERROR(L80,0)))</f>
        <v/>
      </c>
      <c r="X80" s="16">
        <f>IF(A80="","",IF(P80=TRUE,0,IFERROR(H80,0)+IFERROR(I80,0)+IFERROR(L80,0)))</f>
        <v/>
      </c>
      <c r="Y80" s="16">
        <f>IF(A80="",0,IF(G80=TRUE,IFERROR(H80,0)+IFERROR(I80,0)+IFERROR(J80,0)+IFERROR(K80,0)+IFERROR(L80,0),0))</f>
        <v/>
      </c>
      <c r="Z80" s="16">
        <f>IF(A80="",0,IF(AND(O80=TRUE,G80&lt;&gt;TRUE),IFERROR(H80,0)+IFERROR(I80,0)+IFERROR(J80,0)+IFERROR(K80,0)+IFERROR(L80,0),0))</f>
        <v/>
      </c>
    </row>
    <row r="81">
      <c r="A81" s="10" t="n"/>
      <c r="B81" s="10" t="n"/>
      <c r="C81" s="11" t="n"/>
      <c r="D81" s="11" t="n"/>
      <c r="E81" s="10" t="n"/>
      <c r="F81" s="10" t="n"/>
      <c r="G81" s="12" t="n"/>
      <c r="H81" s="13" t="n"/>
      <c r="I81" s="13" t="n"/>
      <c r="J81" s="13" t="n"/>
      <c r="K81" s="13" t="n"/>
      <c r="L81" s="13" t="n"/>
      <c r="M81" s="14">
        <f>IFERROR(IF(A81="","",IFERROR(VLOOKUP(A81,Raw_PriorMonth!A:E,5,FALSE),0)),0)</f>
        <v/>
      </c>
      <c r="N81" s="14">
        <f>IF(A81="","",IFERROR(E81,0)+IFERROR(M81,0))</f>
        <v/>
      </c>
      <c r="O81" s="15">
        <f>IF(A81="","",IF(N81&gt;=28,TRUE,FALSE))</f>
        <v/>
      </c>
      <c r="P81" s="15">
        <f>IF(A81="","",OR(G81=TRUE,O81=TRUE))</f>
        <v/>
      </c>
      <c r="Q81" s="16">
        <f>IF(A81="","",IFERROR(H81,0)+IFERROR(I81,0)+IFERROR(J81,0)+IFERROR(K81,0)+IFERROR(L81,0))</f>
        <v/>
      </c>
      <c r="R81" s="16">
        <f>IF(A81="","",IF(P81=TRUE,0,Q81))</f>
        <v/>
      </c>
      <c r="S81" s="16">
        <f>IF(A81="","",IF(P81=TRUE,0,IFERROR(H81,0)))</f>
        <v/>
      </c>
      <c r="T81" s="16">
        <f>IF(A81="","",IF(P81=TRUE,0,IFERROR(I81,0)))</f>
        <v/>
      </c>
      <c r="U81" s="16">
        <f>IF(A81="","",IF(P81=TRUE,0,IFERROR(J81,0)))</f>
        <v/>
      </c>
      <c r="V81" s="16">
        <f>IF(A81="","",IF(P81=TRUE,0,IFERROR(K81,0)))</f>
        <v/>
      </c>
      <c r="W81" s="16">
        <f>IF(A81="","",IF(P81=TRUE,0,IFERROR(L81,0)))</f>
        <v/>
      </c>
      <c r="X81" s="16">
        <f>IF(A81="","",IF(P81=TRUE,0,IFERROR(H81,0)+IFERROR(I81,0)+IFERROR(L81,0)))</f>
        <v/>
      </c>
      <c r="Y81" s="16">
        <f>IF(A81="",0,IF(G81=TRUE,IFERROR(H81,0)+IFERROR(I81,0)+IFERROR(J81,0)+IFERROR(K81,0)+IFERROR(L81,0),0))</f>
        <v/>
      </c>
      <c r="Z81" s="16">
        <f>IF(A81="",0,IF(AND(O81=TRUE,G81&lt;&gt;TRUE),IFERROR(H81,0)+IFERROR(I81,0)+IFERROR(J81,0)+IFERROR(K81,0)+IFERROR(L81,0),0))</f>
        <v/>
      </c>
    </row>
    <row r="82">
      <c r="A82" s="10" t="n"/>
      <c r="B82" s="10" t="n"/>
      <c r="C82" s="11" t="n"/>
      <c r="D82" s="11" t="n"/>
      <c r="E82" s="10" t="n"/>
      <c r="F82" s="10" t="n"/>
      <c r="G82" s="12" t="n"/>
      <c r="H82" s="13" t="n"/>
      <c r="I82" s="13" t="n"/>
      <c r="J82" s="13" t="n"/>
      <c r="K82" s="13" t="n"/>
      <c r="L82" s="13" t="n"/>
      <c r="M82" s="14">
        <f>IFERROR(IF(A82="","",IFERROR(VLOOKUP(A82,Raw_PriorMonth!A:E,5,FALSE),0)),0)</f>
        <v/>
      </c>
      <c r="N82" s="14">
        <f>IF(A82="","",IFERROR(E82,0)+IFERROR(M82,0))</f>
        <v/>
      </c>
      <c r="O82" s="15">
        <f>IF(A82="","",IF(N82&gt;=28,TRUE,FALSE))</f>
        <v/>
      </c>
      <c r="P82" s="15">
        <f>IF(A82="","",OR(G82=TRUE,O82=TRUE))</f>
        <v/>
      </c>
      <c r="Q82" s="16">
        <f>IF(A82="","",IFERROR(H82,0)+IFERROR(I82,0)+IFERROR(J82,0)+IFERROR(K82,0)+IFERROR(L82,0))</f>
        <v/>
      </c>
      <c r="R82" s="16">
        <f>IF(A82="","",IF(P82=TRUE,0,Q82))</f>
        <v/>
      </c>
      <c r="S82" s="16">
        <f>IF(A82="","",IF(P82=TRUE,0,IFERROR(H82,0)))</f>
        <v/>
      </c>
      <c r="T82" s="16">
        <f>IF(A82="","",IF(P82=TRUE,0,IFERROR(I82,0)))</f>
        <v/>
      </c>
      <c r="U82" s="16">
        <f>IF(A82="","",IF(P82=TRUE,0,IFERROR(J82,0)))</f>
        <v/>
      </c>
      <c r="V82" s="16">
        <f>IF(A82="","",IF(P82=TRUE,0,IFERROR(K82,0)))</f>
        <v/>
      </c>
      <c r="W82" s="16">
        <f>IF(A82="","",IF(P82=TRUE,0,IFERROR(L82,0)))</f>
        <v/>
      </c>
      <c r="X82" s="16">
        <f>IF(A82="","",IF(P82=TRUE,0,IFERROR(H82,0)+IFERROR(I82,0)+IFERROR(L82,0)))</f>
        <v/>
      </c>
      <c r="Y82" s="16">
        <f>IF(A82="",0,IF(G82=TRUE,IFERROR(H82,0)+IFERROR(I82,0)+IFERROR(J82,0)+IFERROR(K82,0)+IFERROR(L82,0),0))</f>
        <v/>
      </c>
      <c r="Z82" s="16">
        <f>IF(A82="",0,IF(AND(O82=TRUE,G82&lt;&gt;TRUE),IFERROR(H82,0)+IFERROR(I82,0)+IFERROR(J82,0)+IFERROR(K82,0)+IFERROR(L82,0),0))</f>
        <v/>
      </c>
    </row>
    <row r="83">
      <c r="A83" s="10" t="n"/>
      <c r="B83" s="10" t="n"/>
      <c r="C83" s="11" t="n"/>
      <c r="D83" s="11" t="n"/>
      <c r="E83" s="10" t="n"/>
      <c r="F83" s="10" t="n"/>
      <c r="G83" s="12" t="n"/>
      <c r="H83" s="13" t="n"/>
      <c r="I83" s="13" t="n"/>
      <c r="J83" s="13" t="n"/>
      <c r="K83" s="13" t="n"/>
      <c r="L83" s="13" t="n"/>
      <c r="M83" s="14">
        <f>IFERROR(IF(A83="","",IFERROR(VLOOKUP(A83,Raw_PriorMonth!A:E,5,FALSE),0)),0)</f>
        <v/>
      </c>
      <c r="N83" s="14">
        <f>IF(A83="","",IFERROR(E83,0)+IFERROR(M83,0))</f>
        <v/>
      </c>
      <c r="O83" s="15">
        <f>IF(A83="","",IF(N83&gt;=28,TRUE,FALSE))</f>
        <v/>
      </c>
      <c r="P83" s="15">
        <f>IF(A83="","",OR(G83=TRUE,O83=TRUE))</f>
        <v/>
      </c>
      <c r="Q83" s="16">
        <f>IF(A83="","",IFERROR(H83,0)+IFERROR(I83,0)+IFERROR(J83,0)+IFERROR(K83,0)+IFERROR(L83,0))</f>
        <v/>
      </c>
      <c r="R83" s="16">
        <f>IF(A83="","",IF(P83=TRUE,0,Q83))</f>
        <v/>
      </c>
      <c r="S83" s="16">
        <f>IF(A83="","",IF(P83=TRUE,0,IFERROR(H83,0)))</f>
        <v/>
      </c>
      <c r="T83" s="16">
        <f>IF(A83="","",IF(P83=TRUE,0,IFERROR(I83,0)))</f>
        <v/>
      </c>
      <c r="U83" s="16">
        <f>IF(A83="","",IF(P83=TRUE,0,IFERROR(J83,0)))</f>
        <v/>
      </c>
      <c r="V83" s="16">
        <f>IF(A83="","",IF(P83=TRUE,0,IFERROR(K83,0)))</f>
        <v/>
      </c>
      <c r="W83" s="16">
        <f>IF(A83="","",IF(P83=TRUE,0,IFERROR(L83,0)))</f>
        <v/>
      </c>
      <c r="X83" s="16">
        <f>IF(A83="","",IF(P83=TRUE,0,IFERROR(H83,0)+IFERROR(I83,0)+IFERROR(L83,0)))</f>
        <v/>
      </c>
      <c r="Y83" s="16">
        <f>IF(A83="",0,IF(G83=TRUE,IFERROR(H83,0)+IFERROR(I83,0)+IFERROR(J83,0)+IFERROR(K83,0)+IFERROR(L83,0),0))</f>
        <v/>
      </c>
      <c r="Z83" s="16">
        <f>IF(A83="",0,IF(AND(O83=TRUE,G83&lt;&gt;TRUE),IFERROR(H83,0)+IFERROR(I83,0)+IFERROR(J83,0)+IFERROR(K83,0)+IFERROR(L83,0),0))</f>
        <v/>
      </c>
    </row>
    <row r="84">
      <c r="A84" s="10" t="n"/>
      <c r="B84" s="10" t="n"/>
      <c r="C84" s="11" t="n"/>
      <c r="D84" s="11" t="n"/>
      <c r="E84" s="10" t="n"/>
      <c r="F84" s="10" t="n"/>
      <c r="G84" s="12" t="n"/>
      <c r="H84" s="13" t="n"/>
      <c r="I84" s="13" t="n"/>
      <c r="J84" s="13" t="n"/>
      <c r="K84" s="13" t="n"/>
      <c r="L84" s="13" t="n"/>
      <c r="M84" s="14">
        <f>IFERROR(IF(A84="","",IFERROR(VLOOKUP(A84,Raw_PriorMonth!A:E,5,FALSE),0)),0)</f>
        <v/>
      </c>
      <c r="N84" s="14">
        <f>IF(A84="","",IFERROR(E84,0)+IFERROR(M84,0))</f>
        <v/>
      </c>
      <c r="O84" s="15">
        <f>IF(A84="","",IF(N84&gt;=28,TRUE,FALSE))</f>
        <v/>
      </c>
      <c r="P84" s="15">
        <f>IF(A84="","",OR(G84=TRUE,O84=TRUE))</f>
        <v/>
      </c>
      <c r="Q84" s="16">
        <f>IF(A84="","",IFERROR(H84,0)+IFERROR(I84,0)+IFERROR(J84,0)+IFERROR(K84,0)+IFERROR(L84,0))</f>
        <v/>
      </c>
      <c r="R84" s="16">
        <f>IF(A84="","",IF(P84=TRUE,0,Q84))</f>
        <v/>
      </c>
      <c r="S84" s="16">
        <f>IF(A84="","",IF(P84=TRUE,0,IFERROR(H84,0)))</f>
        <v/>
      </c>
      <c r="T84" s="16">
        <f>IF(A84="","",IF(P84=TRUE,0,IFERROR(I84,0)))</f>
        <v/>
      </c>
      <c r="U84" s="16">
        <f>IF(A84="","",IF(P84=TRUE,0,IFERROR(J84,0)))</f>
        <v/>
      </c>
      <c r="V84" s="16">
        <f>IF(A84="","",IF(P84=TRUE,0,IFERROR(K84,0)))</f>
        <v/>
      </c>
      <c r="W84" s="16">
        <f>IF(A84="","",IF(P84=TRUE,0,IFERROR(L84,0)))</f>
        <v/>
      </c>
      <c r="X84" s="16">
        <f>IF(A84="","",IF(P84=TRUE,0,IFERROR(H84,0)+IFERROR(I84,0)+IFERROR(L84,0)))</f>
        <v/>
      </c>
      <c r="Y84" s="16">
        <f>IF(A84="",0,IF(G84=TRUE,IFERROR(H84,0)+IFERROR(I84,0)+IFERROR(J84,0)+IFERROR(K84,0)+IFERROR(L84,0),0))</f>
        <v/>
      </c>
      <c r="Z84" s="16">
        <f>IF(A84="",0,IF(AND(O84=TRUE,G84&lt;&gt;TRUE),IFERROR(H84,0)+IFERROR(I84,0)+IFERROR(J84,0)+IFERROR(K84,0)+IFERROR(L84,0),0))</f>
        <v/>
      </c>
    </row>
    <row r="85">
      <c r="A85" s="10" t="n"/>
      <c r="B85" s="10" t="n"/>
      <c r="C85" s="11" t="n"/>
      <c r="D85" s="11" t="n"/>
      <c r="E85" s="10" t="n"/>
      <c r="F85" s="10" t="n"/>
      <c r="G85" s="12" t="n"/>
      <c r="H85" s="13" t="n"/>
      <c r="I85" s="13" t="n"/>
      <c r="J85" s="13" t="n"/>
      <c r="K85" s="13" t="n"/>
      <c r="L85" s="13" t="n"/>
      <c r="M85" s="14">
        <f>IFERROR(IF(A85="","",IFERROR(VLOOKUP(A85,Raw_PriorMonth!A:E,5,FALSE),0)),0)</f>
        <v/>
      </c>
      <c r="N85" s="14">
        <f>IF(A85="","",IFERROR(E85,0)+IFERROR(M85,0))</f>
        <v/>
      </c>
      <c r="O85" s="15">
        <f>IF(A85="","",IF(N85&gt;=28,TRUE,FALSE))</f>
        <v/>
      </c>
      <c r="P85" s="15">
        <f>IF(A85="","",OR(G85=TRUE,O85=TRUE))</f>
        <v/>
      </c>
      <c r="Q85" s="16">
        <f>IF(A85="","",IFERROR(H85,0)+IFERROR(I85,0)+IFERROR(J85,0)+IFERROR(K85,0)+IFERROR(L85,0))</f>
        <v/>
      </c>
      <c r="R85" s="16">
        <f>IF(A85="","",IF(P85=TRUE,0,Q85))</f>
        <v/>
      </c>
      <c r="S85" s="16">
        <f>IF(A85="","",IF(P85=TRUE,0,IFERROR(H85,0)))</f>
        <v/>
      </c>
      <c r="T85" s="16">
        <f>IF(A85="","",IF(P85=TRUE,0,IFERROR(I85,0)))</f>
        <v/>
      </c>
      <c r="U85" s="16">
        <f>IF(A85="","",IF(P85=TRUE,0,IFERROR(J85,0)))</f>
        <v/>
      </c>
      <c r="V85" s="16">
        <f>IF(A85="","",IF(P85=TRUE,0,IFERROR(K85,0)))</f>
        <v/>
      </c>
      <c r="W85" s="16">
        <f>IF(A85="","",IF(P85=TRUE,0,IFERROR(L85,0)))</f>
        <v/>
      </c>
      <c r="X85" s="16">
        <f>IF(A85="","",IF(P85=TRUE,0,IFERROR(H85,0)+IFERROR(I85,0)+IFERROR(L85,0)))</f>
        <v/>
      </c>
      <c r="Y85" s="16">
        <f>IF(A85="",0,IF(G85=TRUE,IFERROR(H85,0)+IFERROR(I85,0)+IFERROR(J85,0)+IFERROR(K85,0)+IFERROR(L85,0),0))</f>
        <v/>
      </c>
      <c r="Z85" s="16">
        <f>IF(A85="",0,IF(AND(O85=TRUE,G85&lt;&gt;TRUE),IFERROR(H85,0)+IFERROR(I85,0)+IFERROR(J85,0)+IFERROR(K85,0)+IFERROR(L85,0),0))</f>
        <v/>
      </c>
    </row>
    <row r="86">
      <c r="A86" s="10" t="n"/>
      <c r="B86" s="10" t="n"/>
      <c r="C86" s="11" t="n"/>
      <c r="D86" s="11" t="n"/>
      <c r="E86" s="10" t="n"/>
      <c r="F86" s="10" t="n"/>
      <c r="G86" s="12" t="n"/>
      <c r="H86" s="13" t="n"/>
      <c r="I86" s="13" t="n"/>
      <c r="J86" s="13" t="n"/>
      <c r="K86" s="13" t="n"/>
      <c r="L86" s="13" t="n"/>
      <c r="M86" s="14">
        <f>IFERROR(IF(A86="","",IFERROR(VLOOKUP(A86,Raw_PriorMonth!A:E,5,FALSE),0)),0)</f>
        <v/>
      </c>
      <c r="N86" s="14">
        <f>IF(A86="","",IFERROR(E86,0)+IFERROR(M86,0))</f>
        <v/>
      </c>
      <c r="O86" s="15">
        <f>IF(A86="","",IF(N86&gt;=28,TRUE,FALSE))</f>
        <v/>
      </c>
      <c r="P86" s="15">
        <f>IF(A86="","",OR(G86=TRUE,O86=TRUE))</f>
        <v/>
      </c>
      <c r="Q86" s="16">
        <f>IF(A86="","",IFERROR(H86,0)+IFERROR(I86,0)+IFERROR(J86,0)+IFERROR(K86,0)+IFERROR(L86,0))</f>
        <v/>
      </c>
      <c r="R86" s="16">
        <f>IF(A86="","",IF(P86=TRUE,0,Q86))</f>
        <v/>
      </c>
      <c r="S86" s="16">
        <f>IF(A86="","",IF(P86=TRUE,0,IFERROR(H86,0)))</f>
        <v/>
      </c>
      <c r="T86" s="16">
        <f>IF(A86="","",IF(P86=TRUE,0,IFERROR(I86,0)))</f>
        <v/>
      </c>
      <c r="U86" s="16">
        <f>IF(A86="","",IF(P86=TRUE,0,IFERROR(J86,0)))</f>
        <v/>
      </c>
      <c r="V86" s="16">
        <f>IF(A86="","",IF(P86=TRUE,0,IFERROR(K86,0)))</f>
        <v/>
      </c>
      <c r="W86" s="16">
        <f>IF(A86="","",IF(P86=TRUE,0,IFERROR(L86,0)))</f>
        <v/>
      </c>
      <c r="X86" s="16">
        <f>IF(A86="","",IF(P86=TRUE,0,IFERROR(H86,0)+IFERROR(I86,0)+IFERROR(L86,0)))</f>
        <v/>
      </c>
      <c r="Y86" s="16">
        <f>IF(A86="",0,IF(G86=TRUE,IFERROR(H86,0)+IFERROR(I86,0)+IFERROR(J86,0)+IFERROR(K86,0)+IFERROR(L86,0),0))</f>
        <v/>
      </c>
      <c r="Z86" s="16">
        <f>IF(A86="",0,IF(AND(O86=TRUE,G86&lt;&gt;TRUE),IFERROR(H86,0)+IFERROR(I86,0)+IFERROR(J86,0)+IFERROR(K86,0)+IFERROR(L86,0),0))</f>
        <v/>
      </c>
    </row>
    <row r="87">
      <c r="A87" s="10" t="n"/>
      <c r="B87" s="10" t="n"/>
      <c r="C87" s="11" t="n"/>
      <c r="D87" s="11" t="n"/>
      <c r="E87" s="10" t="n"/>
      <c r="F87" s="10" t="n"/>
      <c r="G87" s="12" t="n"/>
      <c r="H87" s="13" t="n"/>
      <c r="I87" s="13" t="n"/>
      <c r="J87" s="13" t="n"/>
      <c r="K87" s="13" t="n"/>
      <c r="L87" s="13" t="n"/>
      <c r="M87" s="14">
        <f>IFERROR(IF(A87="","",IFERROR(VLOOKUP(A87,Raw_PriorMonth!A:E,5,FALSE),0)),0)</f>
        <v/>
      </c>
      <c r="N87" s="14">
        <f>IF(A87="","",IFERROR(E87,0)+IFERROR(M87,0))</f>
        <v/>
      </c>
      <c r="O87" s="15">
        <f>IF(A87="","",IF(N87&gt;=28,TRUE,FALSE))</f>
        <v/>
      </c>
      <c r="P87" s="15">
        <f>IF(A87="","",OR(G87=TRUE,O87=TRUE))</f>
        <v/>
      </c>
      <c r="Q87" s="16">
        <f>IF(A87="","",IFERROR(H87,0)+IFERROR(I87,0)+IFERROR(J87,0)+IFERROR(K87,0)+IFERROR(L87,0))</f>
        <v/>
      </c>
      <c r="R87" s="16">
        <f>IF(A87="","",IF(P87=TRUE,0,Q87))</f>
        <v/>
      </c>
      <c r="S87" s="16">
        <f>IF(A87="","",IF(P87=TRUE,0,IFERROR(H87,0)))</f>
        <v/>
      </c>
      <c r="T87" s="16">
        <f>IF(A87="","",IF(P87=TRUE,0,IFERROR(I87,0)))</f>
        <v/>
      </c>
      <c r="U87" s="16">
        <f>IF(A87="","",IF(P87=TRUE,0,IFERROR(J87,0)))</f>
        <v/>
      </c>
      <c r="V87" s="16">
        <f>IF(A87="","",IF(P87=TRUE,0,IFERROR(K87,0)))</f>
        <v/>
      </c>
      <c r="W87" s="16">
        <f>IF(A87="","",IF(P87=TRUE,0,IFERROR(L87,0)))</f>
        <v/>
      </c>
      <c r="X87" s="16">
        <f>IF(A87="","",IF(P87=TRUE,0,IFERROR(H87,0)+IFERROR(I87,0)+IFERROR(L87,0)))</f>
        <v/>
      </c>
      <c r="Y87" s="16">
        <f>IF(A87="",0,IF(G87=TRUE,IFERROR(H87,0)+IFERROR(I87,0)+IFERROR(J87,0)+IFERROR(K87,0)+IFERROR(L87,0),0))</f>
        <v/>
      </c>
      <c r="Z87" s="16">
        <f>IF(A87="",0,IF(AND(O87=TRUE,G87&lt;&gt;TRUE),IFERROR(H87,0)+IFERROR(I87,0)+IFERROR(J87,0)+IFERROR(K87,0)+IFERROR(L87,0),0))</f>
        <v/>
      </c>
    </row>
    <row r="88">
      <c r="A88" s="10" t="n"/>
      <c r="B88" s="10" t="n"/>
      <c r="C88" s="11" t="n"/>
      <c r="D88" s="11" t="n"/>
      <c r="E88" s="10" t="n"/>
      <c r="F88" s="10" t="n"/>
      <c r="G88" s="12" t="n"/>
      <c r="H88" s="13" t="n"/>
      <c r="I88" s="13" t="n"/>
      <c r="J88" s="13" t="n"/>
      <c r="K88" s="13" t="n"/>
      <c r="L88" s="13" t="n"/>
      <c r="M88" s="14">
        <f>IFERROR(IF(A88="","",IFERROR(VLOOKUP(A88,Raw_PriorMonth!A:E,5,FALSE),0)),0)</f>
        <v/>
      </c>
      <c r="N88" s="14">
        <f>IF(A88="","",IFERROR(E88,0)+IFERROR(M88,0))</f>
        <v/>
      </c>
      <c r="O88" s="15">
        <f>IF(A88="","",IF(N88&gt;=28,TRUE,FALSE))</f>
        <v/>
      </c>
      <c r="P88" s="15">
        <f>IF(A88="","",OR(G88=TRUE,O88=TRUE))</f>
        <v/>
      </c>
      <c r="Q88" s="16">
        <f>IF(A88="","",IFERROR(H88,0)+IFERROR(I88,0)+IFERROR(J88,0)+IFERROR(K88,0)+IFERROR(L88,0))</f>
        <v/>
      </c>
      <c r="R88" s="16">
        <f>IF(A88="","",IF(P88=TRUE,0,Q88))</f>
        <v/>
      </c>
      <c r="S88" s="16">
        <f>IF(A88="","",IF(P88=TRUE,0,IFERROR(H88,0)))</f>
        <v/>
      </c>
      <c r="T88" s="16">
        <f>IF(A88="","",IF(P88=TRUE,0,IFERROR(I88,0)))</f>
        <v/>
      </c>
      <c r="U88" s="16">
        <f>IF(A88="","",IF(P88=TRUE,0,IFERROR(J88,0)))</f>
        <v/>
      </c>
      <c r="V88" s="16">
        <f>IF(A88="","",IF(P88=TRUE,0,IFERROR(K88,0)))</f>
        <v/>
      </c>
      <c r="W88" s="16">
        <f>IF(A88="","",IF(P88=TRUE,0,IFERROR(L88,0)))</f>
        <v/>
      </c>
      <c r="X88" s="16">
        <f>IF(A88="","",IF(P88=TRUE,0,IFERROR(H88,0)+IFERROR(I88,0)+IFERROR(L88,0)))</f>
        <v/>
      </c>
      <c r="Y88" s="16">
        <f>IF(A88="",0,IF(G88=TRUE,IFERROR(H88,0)+IFERROR(I88,0)+IFERROR(J88,0)+IFERROR(K88,0)+IFERROR(L88,0),0))</f>
        <v/>
      </c>
      <c r="Z88" s="16">
        <f>IF(A88="",0,IF(AND(O88=TRUE,G88&lt;&gt;TRUE),IFERROR(H88,0)+IFERROR(I88,0)+IFERROR(J88,0)+IFERROR(K88,0)+IFERROR(L88,0),0))</f>
        <v/>
      </c>
    </row>
    <row r="89">
      <c r="A89" s="10" t="n"/>
      <c r="B89" s="10" t="n"/>
      <c r="C89" s="11" t="n"/>
      <c r="D89" s="11" t="n"/>
      <c r="E89" s="10" t="n"/>
      <c r="F89" s="10" t="n"/>
      <c r="G89" s="12" t="n"/>
      <c r="H89" s="13" t="n"/>
      <c r="I89" s="13" t="n"/>
      <c r="J89" s="13" t="n"/>
      <c r="K89" s="13" t="n"/>
      <c r="L89" s="13" t="n"/>
      <c r="M89" s="14">
        <f>IFERROR(IF(A89="","",IFERROR(VLOOKUP(A89,Raw_PriorMonth!A:E,5,FALSE),0)),0)</f>
        <v/>
      </c>
      <c r="N89" s="14">
        <f>IF(A89="","",IFERROR(E89,0)+IFERROR(M89,0))</f>
        <v/>
      </c>
      <c r="O89" s="15">
        <f>IF(A89="","",IF(N89&gt;=28,TRUE,FALSE))</f>
        <v/>
      </c>
      <c r="P89" s="15">
        <f>IF(A89="","",OR(G89=TRUE,O89=TRUE))</f>
        <v/>
      </c>
      <c r="Q89" s="16">
        <f>IF(A89="","",IFERROR(H89,0)+IFERROR(I89,0)+IFERROR(J89,0)+IFERROR(K89,0)+IFERROR(L89,0))</f>
        <v/>
      </c>
      <c r="R89" s="16">
        <f>IF(A89="","",IF(P89=TRUE,0,Q89))</f>
        <v/>
      </c>
      <c r="S89" s="16">
        <f>IF(A89="","",IF(P89=TRUE,0,IFERROR(H89,0)))</f>
        <v/>
      </c>
      <c r="T89" s="16">
        <f>IF(A89="","",IF(P89=TRUE,0,IFERROR(I89,0)))</f>
        <v/>
      </c>
      <c r="U89" s="16">
        <f>IF(A89="","",IF(P89=TRUE,0,IFERROR(J89,0)))</f>
        <v/>
      </c>
      <c r="V89" s="16">
        <f>IF(A89="","",IF(P89=TRUE,0,IFERROR(K89,0)))</f>
        <v/>
      </c>
      <c r="W89" s="16">
        <f>IF(A89="","",IF(P89=TRUE,0,IFERROR(L89,0)))</f>
        <v/>
      </c>
      <c r="X89" s="16">
        <f>IF(A89="","",IF(P89=TRUE,0,IFERROR(H89,0)+IFERROR(I89,0)+IFERROR(L89,0)))</f>
        <v/>
      </c>
      <c r="Y89" s="16">
        <f>IF(A89="",0,IF(G89=TRUE,IFERROR(H89,0)+IFERROR(I89,0)+IFERROR(J89,0)+IFERROR(K89,0)+IFERROR(L89,0),0))</f>
        <v/>
      </c>
      <c r="Z89" s="16">
        <f>IF(A89="",0,IF(AND(O89=TRUE,G89&lt;&gt;TRUE),IFERROR(H89,0)+IFERROR(I89,0)+IFERROR(J89,0)+IFERROR(K89,0)+IFERROR(L89,0),0))</f>
        <v/>
      </c>
    </row>
    <row r="90">
      <c r="A90" s="10" t="n"/>
      <c r="B90" s="10" t="n"/>
      <c r="C90" s="11" t="n"/>
      <c r="D90" s="11" t="n"/>
      <c r="E90" s="10" t="n"/>
      <c r="F90" s="10" t="n"/>
      <c r="G90" s="12" t="n"/>
      <c r="H90" s="13" t="n"/>
      <c r="I90" s="13" t="n"/>
      <c r="J90" s="13" t="n"/>
      <c r="K90" s="13" t="n"/>
      <c r="L90" s="13" t="n"/>
      <c r="M90" s="14">
        <f>IFERROR(IF(A90="","",IFERROR(VLOOKUP(A90,Raw_PriorMonth!A:E,5,FALSE),0)),0)</f>
        <v/>
      </c>
      <c r="N90" s="14">
        <f>IF(A90="","",IFERROR(E90,0)+IFERROR(M90,0))</f>
        <v/>
      </c>
      <c r="O90" s="15">
        <f>IF(A90="","",IF(N90&gt;=28,TRUE,FALSE))</f>
        <v/>
      </c>
      <c r="P90" s="15">
        <f>IF(A90="","",OR(G90=TRUE,O90=TRUE))</f>
        <v/>
      </c>
      <c r="Q90" s="16">
        <f>IF(A90="","",IFERROR(H90,0)+IFERROR(I90,0)+IFERROR(J90,0)+IFERROR(K90,0)+IFERROR(L90,0))</f>
        <v/>
      </c>
      <c r="R90" s="16">
        <f>IF(A90="","",IF(P90=TRUE,0,Q90))</f>
        <v/>
      </c>
      <c r="S90" s="16">
        <f>IF(A90="","",IF(P90=TRUE,0,IFERROR(H90,0)))</f>
        <v/>
      </c>
      <c r="T90" s="16">
        <f>IF(A90="","",IF(P90=TRUE,0,IFERROR(I90,0)))</f>
        <v/>
      </c>
      <c r="U90" s="16">
        <f>IF(A90="","",IF(P90=TRUE,0,IFERROR(J90,0)))</f>
        <v/>
      </c>
      <c r="V90" s="16">
        <f>IF(A90="","",IF(P90=TRUE,0,IFERROR(K90,0)))</f>
        <v/>
      </c>
      <c r="W90" s="16">
        <f>IF(A90="","",IF(P90=TRUE,0,IFERROR(L90,0)))</f>
        <v/>
      </c>
      <c r="X90" s="16">
        <f>IF(A90="","",IF(P90=TRUE,0,IFERROR(H90,0)+IFERROR(I90,0)+IFERROR(L90,0)))</f>
        <v/>
      </c>
      <c r="Y90" s="16">
        <f>IF(A90="",0,IF(G90=TRUE,IFERROR(H90,0)+IFERROR(I90,0)+IFERROR(J90,0)+IFERROR(K90,0)+IFERROR(L90,0),0))</f>
        <v/>
      </c>
      <c r="Z90" s="16">
        <f>IF(A90="",0,IF(AND(O90=TRUE,G90&lt;&gt;TRUE),IFERROR(H90,0)+IFERROR(I90,0)+IFERROR(J90,0)+IFERROR(K90,0)+IFERROR(L90,0),0))</f>
        <v/>
      </c>
    </row>
    <row r="91">
      <c r="A91" s="10" t="n"/>
      <c r="B91" s="10" t="n"/>
      <c r="C91" s="11" t="n"/>
      <c r="D91" s="11" t="n"/>
      <c r="E91" s="10" t="n"/>
      <c r="F91" s="10" t="n"/>
      <c r="G91" s="12" t="n"/>
      <c r="H91" s="13" t="n"/>
      <c r="I91" s="13" t="n"/>
      <c r="J91" s="13" t="n"/>
      <c r="K91" s="13" t="n"/>
      <c r="L91" s="13" t="n"/>
      <c r="M91" s="14">
        <f>IFERROR(IF(A91="","",IFERROR(VLOOKUP(A91,Raw_PriorMonth!A:E,5,FALSE),0)),0)</f>
        <v/>
      </c>
      <c r="N91" s="14">
        <f>IF(A91="","",IFERROR(E91,0)+IFERROR(M91,0))</f>
        <v/>
      </c>
      <c r="O91" s="15">
        <f>IF(A91="","",IF(N91&gt;=28,TRUE,FALSE))</f>
        <v/>
      </c>
      <c r="P91" s="15">
        <f>IF(A91="","",OR(G91=TRUE,O91=TRUE))</f>
        <v/>
      </c>
      <c r="Q91" s="16">
        <f>IF(A91="","",IFERROR(H91,0)+IFERROR(I91,0)+IFERROR(J91,0)+IFERROR(K91,0)+IFERROR(L91,0))</f>
        <v/>
      </c>
      <c r="R91" s="16">
        <f>IF(A91="","",IF(P91=TRUE,0,Q91))</f>
        <v/>
      </c>
      <c r="S91" s="16">
        <f>IF(A91="","",IF(P91=TRUE,0,IFERROR(H91,0)))</f>
        <v/>
      </c>
      <c r="T91" s="16">
        <f>IF(A91="","",IF(P91=TRUE,0,IFERROR(I91,0)))</f>
        <v/>
      </c>
      <c r="U91" s="16">
        <f>IF(A91="","",IF(P91=TRUE,0,IFERROR(J91,0)))</f>
        <v/>
      </c>
      <c r="V91" s="16">
        <f>IF(A91="","",IF(P91=TRUE,0,IFERROR(K91,0)))</f>
        <v/>
      </c>
      <c r="W91" s="16">
        <f>IF(A91="","",IF(P91=TRUE,0,IFERROR(L91,0)))</f>
        <v/>
      </c>
      <c r="X91" s="16">
        <f>IF(A91="","",IF(P91=TRUE,0,IFERROR(H91,0)+IFERROR(I91,0)+IFERROR(L91,0)))</f>
        <v/>
      </c>
      <c r="Y91" s="16">
        <f>IF(A91="",0,IF(G91=TRUE,IFERROR(H91,0)+IFERROR(I91,0)+IFERROR(J91,0)+IFERROR(K91,0)+IFERROR(L91,0),0))</f>
        <v/>
      </c>
      <c r="Z91" s="16">
        <f>IF(A91="",0,IF(AND(O91=TRUE,G91&lt;&gt;TRUE),IFERROR(H91,0)+IFERROR(I91,0)+IFERROR(J91,0)+IFERROR(K91,0)+IFERROR(L91,0),0))</f>
        <v/>
      </c>
    </row>
    <row r="92">
      <c r="A92" s="10" t="n"/>
      <c r="B92" s="10" t="n"/>
      <c r="C92" s="11" t="n"/>
      <c r="D92" s="11" t="n"/>
      <c r="E92" s="10" t="n"/>
      <c r="F92" s="10" t="n"/>
      <c r="G92" s="12" t="n"/>
      <c r="H92" s="13" t="n"/>
      <c r="I92" s="13" t="n"/>
      <c r="J92" s="13" t="n"/>
      <c r="K92" s="13" t="n"/>
      <c r="L92" s="13" t="n"/>
      <c r="M92" s="14">
        <f>IFERROR(IF(A92="","",IFERROR(VLOOKUP(A92,Raw_PriorMonth!A:E,5,FALSE),0)),0)</f>
        <v/>
      </c>
      <c r="N92" s="14">
        <f>IF(A92="","",IFERROR(E92,0)+IFERROR(M92,0))</f>
        <v/>
      </c>
      <c r="O92" s="15">
        <f>IF(A92="","",IF(N92&gt;=28,TRUE,FALSE))</f>
        <v/>
      </c>
      <c r="P92" s="15">
        <f>IF(A92="","",OR(G92=TRUE,O92=TRUE))</f>
        <v/>
      </c>
      <c r="Q92" s="16">
        <f>IF(A92="","",IFERROR(H92,0)+IFERROR(I92,0)+IFERROR(J92,0)+IFERROR(K92,0)+IFERROR(L92,0))</f>
        <v/>
      </c>
      <c r="R92" s="16">
        <f>IF(A92="","",IF(P92=TRUE,0,Q92))</f>
        <v/>
      </c>
      <c r="S92" s="16">
        <f>IF(A92="","",IF(P92=TRUE,0,IFERROR(H92,0)))</f>
        <v/>
      </c>
      <c r="T92" s="16">
        <f>IF(A92="","",IF(P92=TRUE,0,IFERROR(I92,0)))</f>
        <v/>
      </c>
      <c r="U92" s="16">
        <f>IF(A92="","",IF(P92=TRUE,0,IFERROR(J92,0)))</f>
        <v/>
      </c>
      <c r="V92" s="16">
        <f>IF(A92="","",IF(P92=TRUE,0,IFERROR(K92,0)))</f>
        <v/>
      </c>
      <c r="W92" s="16">
        <f>IF(A92="","",IF(P92=TRUE,0,IFERROR(L92,0)))</f>
        <v/>
      </c>
      <c r="X92" s="16">
        <f>IF(A92="","",IF(P92=TRUE,0,IFERROR(H92,0)+IFERROR(I92,0)+IFERROR(L92,0)))</f>
        <v/>
      </c>
      <c r="Y92" s="16">
        <f>IF(A92="",0,IF(G92=TRUE,IFERROR(H92,0)+IFERROR(I92,0)+IFERROR(J92,0)+IFERROR(K92,0)+IFERROR(L92,0),0))</f>
        <v/>
      </c>
      <c r="Z92" s="16">
        <f>IF(A92="",0,IF(AND(O92=TRUE,G92&lt;&gt;TRUE),IFERROR(H92,0)+IFERROR(I92,0)+IFERROR(J92,0)+IFERROR(K92,0)+IFERROR(L92,0),0))</f>
        <v/>
      </c>
    </row>
    <row r="93">
      <c r="A93" s="10" t="n"/>
      <c r="B93" s="10" t="n"/>
      <c r="C93" s="11" t="n"/>
      <c r="D93" s="11" t="n"/>
      <c r="E93" s="10" t="n"/>
      <c r="F93" s="10" t="n"/>
      <c r="G93" s="12" t="n"/>
      <c r="H93" s="13" t="n"/>
      <c r="I93" s="13" t="n"/>
      <c r="J93" s="13" t="n"/>
      <c r="K93" s="13" t="n"/>
      <c r="L93" s="13" t="n"/>
      <c r="M93" s="14">
        <f>IFERROR(IF(A93="","",IFERROR(VLOOKUP(A93,Raw_PriorMonth!A:E,5,FALSE),0)),0)</f>
        <v/>
      </c>
      <c r="N93" s="14">
        <f>IF(A93="","",IFERROR(E93,0)+IFERROR(M93,0))</f>
        <v/>
      </c>
      <c r="O93" s="15">
        <f>IF(A93="","",IF(N93&gt;=28,TRUE,FALSE))</f>
        <v/>
      </c>
      <c r="P93" s="15">
        <f>IF(A93="","",OR(G93=TRUE,O93=TRUE))</f>
        <v/>
      </c>
      <c r="Q93" s="16">
        <f>IF(A93="","",IFERROR(H93,0)+IFERROR(I93,0)+IFERROR(J93,0)+IFERROR(K93,0)+IFERROR(L93,0))</f>
        <v/>
      </c>
      <c r="R93" s="16">
        <f>IF(A93="","",IF(P93=TRUE,0,Q93))</f>
        <v/>
      </c>
      <c r="S93" s="16">
        <f>IF(A93="","",IF(P93=TRUE,0,IFERROR(H93,0)))</f>
        <v/>
      </c>
      <c r="T93" s="16">
        <f>IF(A93="","",IF(P93=TRUE,0,IFERROR(I93,0)))</f>
        <v/>
      </c>
      <c r="U93" s="16">
        <f>IF(A93="","",IF(P93=TRUE,0,IFERROR(J93,0)))</f>
        <v/>
      </c>
      <c r="V93" s="16">
        <f>IF(A93="","",IF(P93=TRUE,0,IFERROR(K93,0)))</f>
        <v/>
      </c>
      <c r="W93" s="16">
        <f>IF(A93="","",IF(P93=TRUE,0,IFERROR(L93,0)))</f>
        <v/>
      </c>
      <c r="X93" s="16">
        <f>IF(A93="","",IF(P93=TRUE,0,IFERROR(H93,0)+IFERROR(I93,0)+IFERROR(L93,0)))</f>
        <v/>
      </c>
      <c r="Y93" s="16">
        <f>IF(A93="",0,IF(G93=TRUE,IFERROR(H93,0)+IFERROR(I93,0)+IFERROR(J93,0)+IFERROR(K93,0)+IFERROR(L93,0),0))</f>
        <v/>
      </c>
      <c r="Z93" s="16">
        <f>IF(A93="",0,IF(AND(O93=TRUE,G93&lt;&gt;TRUE),IFERROR(H93,0)+IFERROR(I93,0)+IFERROR(J93,0)+IFERROR(K93,0)+IFERROR(L93,0),0))</f>
        <v/>
      </c>
    </row>
    <row r="94">
      <c r="A94" s="10" t="n"/>
      <c r="B94" s="10" t="n"/>
      <c r="C94" s="11" t="n"/>
      <c r="D94" s="11" t="n"/>
      <c r="E94" s="10" t="n"/>
      <c r="F94" s="10" t="n"/>
      <c r="G94" s="12" t="n"/>
      <c r="H94" s="13" t="n"/>
      <c r="I94" s="13" t="n"/>
      <c r="J94" s="13" t="n"/>
      <c r="K94" s="13" t="n"/>
      <c r="L94" s="13" t="n"/>
      <c r="M94" s="14">
        <f>IFERROR(IF(A94="","",IFERROR(VLOOKUP(A94,Raw_PriorMonth!A:E,5,FALSE),0)),0)</f>
        <v/>
      </c>
      <c r="N94" s="14">
        <f>IF(A94="","",IFERROR(E94,0)+IFERROR(M94,0))</f>
        <v/>
      </c>
      <c r="O94" s="15">
        <f>IF(A94="","",IF(N94&gt;=28,TRUE,FALSE))</f>
        <v/>
      </c>
      <c r="P94" s="15">
        <f>IF(A94="","",OR(G94=TRUE,O94=TRUE))</f>
        <v/>
      </c>
      <c r="Q94" s="16">
        <f>IF(A94="","",IFERROR(H94,0)+IFERROR(I94,0)+IFERROR(J94,0)+IFERROR(K94,0)+IFERROR(L94,0))</f>
        <v/>
      </c>
      <c r="R94" s="16">
        <f>IF(A94="","",IF(P94=TRUE,0,Q94))</f>
        <v/>
      </c>
      <c r="S94" s="16">
        <f>IF(A94="","",IF(P94=TRUE,0,IFERROR(H94,0)))</f>
        <v/>
      </c>
      <c r="T94" s="16">
        <f>IF(A94="","",IF(P94=TRUE,0,IFERROR(I94,0)))</f>
        <v/>
      </c>
      <c r="U94" s="16">
        <f>IF(A94="","",IF(P94=TRUE,0,IFERROR(J94,0)))</f>
        <v/>
      </c>
      <c r="V94" s="16">
        <f>IF(A94="","",IF(P94=TRUE,0,IFERROR(K94,0)))</f>
        <v/>
      </c>
      <c r="W94" s="16">
        <f>IF(A94="","",IF(P94=TRUE,0,IFERROR(L94,0)))</f>
        <v/>
      </c>
      <c r="X94" s="16">
        <f>IF(A94="","",IF(P94=TRUE,0,IFERROR(H94,0)+IFERROR(I94,0)+IFERROR(L94,0)))</f>
        <v/>
      </c>
      <c r="Y94" s="16">
        <f>IF(A94="",0,IF(G94=TRUE,IFERROR(H94,0)+IFERROR(I94,0)+IFERROR(J94,0)+IFERROR(K94,0)+IFERROR(L94,0),0))</f>
        <v/>
      </c>
      <c r="Z94" s="16">
        <f>IF(A94="",0,IF(AND(O94=TRUE,G94&lt;&gt;TRUE),IFERROR(H94,0)+IFERROR(I94,0)+IFERROR(J94,0)+IFERROR(K94,0)+IFERROR(L94,0),0))</f>
        <v/>
      </c>
    </row>
    <row r="95">
      <c r="A95" s="10" t="n"/>
      <c r="B95" s="10" t="n"/>
      <c r="C95" s="11" t="n"/>
      <c r="D95" s="11" t="n"/>
      <c r="E95" s="10" t="n"/>
      <c r="F95" s="10" t="n"/>
      <c r="G95" s="12" t="n"/>
      <c r="H95" s="13" t="n"/>
      <c r="I95" s="13" t="n"/>
      <c r="J95" s="13" t="n"/>
      <c r="K95" s="13" t="n"/>
      <c r="L95" s="13" t="n"/>
      <c r="M95" s="14">
        <f>IFERROR(IF(A95="","",IFERROR(VLOOKUP(A95,Raw_PriorMonth!A:E,5,FALSE),0)),0)</f>
        <v/>
      </c>
      <c r="N95" s="14">
        <f>IF(A95="","",IFERROR(E95,0)+IFERROR(M95,0))</f>
        <v/>
      </c>
      <c r="O95" s="15">
        <f>IF(A95="","",IF(N95&gt;=28,TRUE,FALSE))</f>
        <v/>
      </c>
      <c r="P95" s="15">
        <f>IF(A95="","",OR(G95=TRUE,O95=TRUE))</f>
        <v/>
      </c>
      <c r="Q95" s="16">
        <f>IF(A95="","",IFERROR(H95,0)+IFERROR(I95,0)+IFERROR(J95,0)+IFERROR(K95,0)+IFERROR(L95,0))</f>
        <v/>
      </c>
      <c r="R95" s="16">
        <f>IF(A95="","",IF(P95=TRUE,0,Q95))</f>
        <v/>
      </c>
      <c r="S95" s="16">
        <f>IF(A95="","",IF(P95=TRUE,0,IFERROR(H95,0)))</f>
        <v/>
      </c>
      <c r="T95" s="16">
        <f>IF(A95="","",IF(P95=TRUE,0,IFERROR(I95,0)))</f>
        <v/>
      </c>
      <c r="U95" s="16">
        <f>IF(A95="","",IF(P95=TRUE,0,IFERROR(J95,0)))</f>
        <v/>
      </c>
      <c r="V95" s="16">
        <f>IF(A95="","",IF(P95=TRUE,0,IFERROR(K95,0)))</f>
        <v/>
      </c>
      <c r="W95" s="16">
        <f>IF(A95="","",IF(P95=TRUE,0,IFERROR(L95,0)))</f>
        <v/>
      </c>
      <c r="X95" s="16">
        <f>IF(A95="","",IF(P95=TRUE,0,IFERROR(H95,0)+IFERROR(I95,0)+IFERROR(L95,0)))</f>
        <v/>
      </c>
      <c r="Y95" s="16">
        <f>IF(A95="",0,IF(G95=TRUE,IFERROR(H95,0)+IFERROR(I95,0)+IFERROR(J95,0)+IFERROR(K95,0)+IFERROR(L95,0),0))</f>
        <v/>
      </c>
      <c r="Z95" s="16">
        <f>IF(A95="",0,IF(AND(O95=TRUE,G95&lt;&gt;TRUE),IFERROR(H95,0)+IFERROR(I95,0)+IFERROR(J95,0)+IFERROR(K95,0)+IFERROR(L95,0),0))</f>
        <v/>
      </c>
    </row>
    <row r="96">
      <c r="A96" s="10" t="n"/>
      <c r="B96" s="10" t="n"/>
      <c r="C96" s="11" t="n"/>
      <c r="D96" s="11" t="n"/>
      <c r="E96" s="10" t="n"/>
      <c r="F96" s="10" t="n"/>
      <c r="G96" s="12" t="n"/>
      <c r="H96" s="13" t="n"/>
      <c r="I96" s="13" t="n"/>
      <c r="J96" s="13" t="n"/>
      <c r="K96" s="13" t="n"/>
      <c r="L96" s="13" t="n"/>
      <c r="M96" s="14">
        <f>IFERROR(IF(A96="","",IFERROR(VLOOKUP(A96,Raw_PriorMonth!A:E,5,FALSE),0)),0)</f>
        <v/>
      </c>
      <c r="N96" s="14">
        <f>IF(A96="","",IFERROR(E96,0)+IFERROR(M96,0))</f>
        <v/>
      </c>
      <c r="O96" s="15">
        <f>IF(A96="","",IF(N96&gt;=28,TRUE,FALSE))</f>
        <v/>
      </c>
      <c r="P96" s="15">
        <f>IF(A96="","",OR(G96=TRUE,O96=TRUE))</f>
        <v/>
      </c>
      <c r="Q96" s="16">
        <f>IF(A96="","",IFERROR(H96,0)+IFERROR(I96,0)+IFERROR(J96,0)+IFERROR(K96,0)+IFERROR(L96,0))</f>
        <v/>
      </c>
      <c r="R96" s="16">
        <f>IF(A96="","",IF(P96=TRUE,0,Q96))</f>
        <v/>
      </c>
      <c r="S96" s="16">
        <f>IF(A96="","",IF(P96=TRUE,0,IFERROR(H96,0)))</f>
        <v/>
      </c>
      <c r="T96" s="16">
        <f>IF(A96="","",IF(P96=TRUE,0,IFERROR(I96,0)))</f>
        <v/>
      </c>
      <c r="U96" s="16">
        <f>IF(A96="","",IF(P96=TRUE,0,IFERROR(J96,0)))</f>
        <v/>
      </c>
      <c r="V96" s="16">
        <f>IF(A96="","",IF(P96=TRUE,0,IFERROR(K96,0)))</f>
        <v/>
      </c>
      <c r="W96" s="16">
        <f>IF(A96="","",IF(P96=TRUE,0,IFERROR(L96,0)))</f>
        <v/>
      </c>
      <c r="X96" s="16">
        <f>IF(A96="","",IF(P96=TRUE,0,IFERROR(H96,0)+IFERROR(I96,0)+IFERROR(L96,0)))</f>
        <v/>
      </c>
      <c r="Y96" s="16">
        <f>IF(A96="",0,IF(G96=TRUE,IFERROR(H96,0)+IFERROR(I96,0)+IFERROR(J96,0)+IFERROR(K96,0)+IFERROR(L96,0),0))</f>
        <v/>
      </c>
      <c r="Z96" s="16">
        <f>IF(A96="",0,IF(AND(O96=TRUE,G96&lt;&gt;TRUE),IFERROR(H96,0)+IFERROR(I96,0)+IFERROR(J96,0)+IFERROR(K96,0)+IFERROR(L96,0),0))</f>
        <v/>
      </c>
    </row>
    <row r="97">
      <c r="A97" s="10" t="n"/>
      <c r="B97" s="10" t="n"/>
      <c r="C97" s="11" t="n"/>
      <c r="D97" s="11" t="n"/>
      <c r="E97" s="10" t="n"/>
      <c r="F97" s="10" t="n"/>
      <c r="G97" s="12" t="n"/>
      <c r="H97" s="13" t="n"/>
      <c r="I97" s="13" t="n"/>
      <c r="J97" s="13" t="n"/>
      <c r="K97" s="13" t="n"/>
      <c r="L97" s="13" t="n"/>
      <c r="M97" s="14">
        <f>IFERROR(IF(A97="","",IFERROR(VLOOKUP(A97,Raw_PriorMonth!A:E,5,FALSE),0)),0)</f>
        <v/>
      </c>
      <c r="N97" s="14">
        <f>IF(A97="","",IFERROR(E97,0)+IFERROR(M97,0))</f>
        <v/>
      </c>
      <c r="O97" s="15">
        <f>IF(A97="","",IF(N97&gt;=28,TRUE,FALSE))</f>
        <v/>
      </c>
      <c r="P97" s="15">
        <f>IF(A97="","",OR(G97=TRUE,O97=TRUE))</f>
        <v/>
      </c>
      <c r="Q97" s="16">
        <f>IF(A97="","",IFERROR(H97,0)+IFERROR(I97,0)+IFERROR(J97,0)+IFERROR(K97,0)+IFERROR(L97,0))</f>
        <v/>
      </c>
      <c r="R97" s="16">
        <f>IF(A97="","",IF(P97=TRUE,0,Q97))</f>
        <v/>
      </c>
      <c r="S97" s="16">
        <f>IF(A97="","",IF(P97=TRUE,0,IFERROR(H97,0)))</f>
        <v/>
      </c>
      <c r="T97" s="16">
        <f>IF(A97="","",IF(P97=TRUE,0,IFERROR(I97,0)))</f>
        <v/>
      </c>
      <c r="U97" s="16">
        <f>IF(A97="","",IF(P97=TRUE,0,IFERROR(J97,0)))</f>
        <v/>
      </c>
      <c r="V97" s="16">
        <f>IF(A97="","",IF(P97=TRUE,0,IFERROR(K97,0)))</f>
        <v/>
      </c>
      <c r="W97" s="16">
        <f>IF(A97="","",IF(P97=TRUE,0,IFERROR(L97,0)))</f>
        <v/>
      </c>
      <c r="X97" s="16">
        <f>IF(A97="","",IF(P97=TRUE,0,IFERROR(H97,0)+IFERROR(I97,0)+IFERROR(L97,0)))</f>
        <v/>
      </c>
      <c r="Y97" s="16">
        <f>IF(A97="",0,IF(G97=TRUE,IFERROR(H97,0)+IFERROR(I97,0)+IFERROR(J97,0)+IFERROR(K97,0)+IFERROR(L97,0),0))</f>
        <v/>
      </c>
      <c r="Z97" s="16">
        <f>IF(A97="",0,IF(AND(O97=TRUE,G97&lt;&gt;TRUE),IFERROR(H97,0)+IFERROR(I97,0)+IFERROR(J97,0)+IFERROR(K97,0)+IFERROR(L97,0),0))</f>
        <v/>
      </c>
    </row>
    <row r="98">
      <c r="A98" s="10" t="n"/>
      <c r="B98" s="10" t="n"/>
      <c r="C98" s="11" t="n"/>
      <c r="D98" s="11" t="n"/>
      <c r="E98" s="10" t="n"/>
      <c r="F98" s="10" t="n"/>
      <c r="G98" s="12" t="n"/>
      <c r="H98" s="13" t="n"/>
      <c r="I98" s="13" t="n"/>
      <c r="J98" s="13" t="n"/>
      <c r="K98" s="13" t="n"/>
      <c r="L98" s="13" t="n"/>
      <c r="M98" s="14">
        <f>IFERROR(IF(A98="","",IFERROR(VLOOKUP(A98,Raw_PriorMonth!A:E,5,FALSE),0)),0)</f>
        <v/>
      </c>
      <c r="N98" s="14">
        <f>IF(A98="","",IFERROR(E98,0)+IFERROR(M98,0))</f>
        <v/>
      </c>
      <c r="O98" s="15">
        <f>IF(A98="","",IF(N98&gt;=28,TRUE,FALSE))</f>
        <v/>
      </c>
      <c r="P98" s="15">
        <f>IF(A98="","",OR(G98=TRUE,O98=TRUE))</f>
        <v/>
      </c>
      <c r="Q98" s="16">
        <f>IF(A98="","",IFERROR(H98,0)+IFERROR(I98,0)+IFERROR(J98,0)+IFERROR(K98,0)+IFERROR(L98,0))</f>
        <v/>
      </c>
      <c r="R98" s="16">
        <f>IF(A98="","",IF(P98=TRUE,0,Q98))</f>
        <v/>
      </c>
      <c r="S98" s="16">
        <f>IF(A98="","",IF(P98=TRUE,0,IFERROR(H98,0)))</f>
        <v/>
      </c>
      <c r="T98" s="16">
        <f>IF(A98="","",IF(P98=TRUE,0,IFERROR(I98,0)))</f>
        <v/>
      </c>
      <c r="U98" s="16">
        <f>IF(A98="","",IF(P98=TRUE,0,IFERROR(J98,0)))</f>
        <v/>
      </c>
      <c r="V98" s="16">
        <f>IF(A98="","",IF(P98=TRUE,0,IFERROR(K98,0)))</f>
        <v/>
      </c>
      <c r="W98" s="16">
        <f>IF(A98="","",IF(P98=TRUE,0,IFERROR(L98,0)))</f>
        <v/>
      </c>
      <c r="X98" s="16">
        <f>IF(A98="","",IF(P98=TRUE,0,IFERROR(H98,0)+IFERROR(I98,0)+IFERROR(L98,0)))</f>
        <v/>
      </c>
      <c r="Y98" s="16">
        <f>IF(A98="",0,IF(G98=TRUE,IFERROR(H98,0)+IFERROR(I98,0)+IFERROR(J98,0)+IFERROR(K98,0)+IFERROR(L98,0),0))</f>
        <v/>
      </c>
      <c r="Z98" s="16">
        <f>IF(A98="",0,IF(AND(O98=TRUE,G98&lt;&gt;TRUE),IFERROR(H98,0)+IFERROR(I98,0)+IFERROR(J98,0)+IFERROR(K98,0)+IFERROR(L98,0),0))</f>
        <v/>
      </c>
    </row>
    <row r="99">
      <c r="A99" s="10" t="n"/>
      <c r="B99" s="10" t="n"/>
      <c r="C99" s="11" t="n"/>
      <c r="D99" s="11" t="n"/>
      <c r="E99" s="10" t="n"/>
      <c r="F99" s="10" t="n"/>
      <c r="G99" s="12" t="n"/>
      <c r="H99" s="13" t="n"/>
      <c r="I99" s="13" t="n"/>
      <c r="J99" s="13" t="n"/>
      <c r="K99" s="13" t="n"/>
      <c r="L99" s="13" t="n"/>
      <c r="M99" s="14">
        <f>IFERROR(IF(A99="","",IFERROR(VLOOKUP(A99,Raw_PriorMonth!A:E,5,FALSE),0)),0)</f>
        <v/>
      </c>
      <c r="N99" s="14">
        <f>IF(A99="","",IFERROR(E99,0)+IFERROR(M99,0))</f>
        <v/>
      </c>
      <c r="O99" s="15">
        <f>IF(A99="","",IF(N99&gt;=28,TRUE,FALSE))</f>
        <v/>
      </c>
      <c r="P99" s="15">
        <f>IF(A99="","",OR(G99=TRUE,O99=TRUE))</f>
        <v/>
      </c>
      <c r="Q99" s="16">
        <f>IF(A99="","",IFERROR(H99,0)+IFERROR(I99,0)+IFERROR(J99,0)+IFERROR(K99,0)+IFERROR(L99,0))</f>
        <v/>
      </c>
      <c r="R99" s="16">
        <f>IF(A99="","",IF(P99=TRUE,0,Q99))</f>
        <v/>
      </c>
      <c r="S99" s="16">
        <f>IF(A99="","",IF(P99=TRUE,0,IFERROR(H99,0)))</f>
        <v/>
      </c>
      <c r="T99" s="16">
        <f>IF(A99="","",IF(P99=TRUE,0,IFERROR(I99,0)))</f>
        <v/>
      </c>
      <c r="U99" s="16">
        <f>IF(A99="","",IF(P99=TRUE,0,IFERROR(J99,0)))</f>
        <v/>
      </c>
      <c r="V99" s="16">
        <f>IF(A99="","",IF(P99=TRUE,0,IFERROR(K99,0)))</f>
        <v/>
      </c>
      <c r="W99" s="16">
        <f>IF(A99="","",IF(P99=TRUE,0,IFERROR(L99,0)))</f>
        <v/>
      </c>
      <c r="X99" s="16">
        <f>IF(A99="","",IF(P99=TRUE,0,IFERROR(H99,0)+IFERROR(I99,0)+IFERROR(L99,0)))</f>
        <v/>
      </c>
      <c r="Y99" s="16">
        <f>IF(A99="",0,IF(G99=TRUE,IFERROR(H99,0)+IFERROR(I99,0)+IFERROR(J99,0)+IFERROR(K99,0)+IFERROR(L99,0),0))</f>
        <v/>
      </c>
      <c r="Z99" s="16">
        <f>IF(A99="",0,IF(AND(O99=TRUE,G99&lt;&gt;TRUE),IFERROR(H99,0)+IFERROR(I99,0)+IFERROR(J99,0)+IFERROR(K99,0)+IFERROR(L99,0),0))</f>
        <v/>
      </c>
    </row>
    <row r="100">
      <c r="A100" s="10" t="n"/>
      <c r="B100" s="10" t="n"/>
      <c r="C100" s="11" t="n"/>
      <c r="D100" s="11" t="n"/>
      <c r="E100" s="10" t="n"/>
      <c r="F100" s="10" t="n"/>
      <c r="G100" s="12" t="n"/>
      <c r="H100" s="13" t="n"/>
      <c r="I100" s="13" t="n"/>
      <c r="J100" s="13" t="n"/>
      <c r="K100" s="13" t="n"/>
      <c r="L100" s="13" t="n"/>
      <c r="M100" s="14">
        <f>IFERROR(IF(A100="","",IFERROR(VLOOKUP(A100,Raw_PriorMonth!A:E,5,FALSE),0)),0)</f>
        <v/>
      </c>
      <c r="N100" s="14">
        <f>IF(A100="","",IFERROR(E100,0)+IFERROR(M100,0))</f>
        <v/>
      </c>
      <c r="O100" s="15">
        <f>IF(A100="","",IF(N100&gt;=28,TRUE,FALSE))</f>
        <v/>
      </c>
      <c r="P100" s="15">
        <f>IF(A100="","",OR(G100=TRUE,O100=TRUE))</f>
        <v/>
      </c>
      <c r="Q100" s="16">
        <f>IF(A100="","",IFERROR(H100,0)+IFERROR(I100,0)+IFERROR(J100,0)+IFERROR(K100,0)+IFERROR(L100,0))</f>
        <v/>
      </c>
      <c r="R100" s="16">
        <f>IF(A100="","",IF(P100=TRUE,0,Q100))</f>
        <v/>
      </c>
      <c r="S100" s="16">
        <f>IF(A100="","",IF(P100=TRUE,0,IFERROR(H100,0)))</f>
        <v/>
      </c>
      <c r="T100" s="16">
        <f>IF(A100="","",IF(P100=TRUE,0,IFERROR(I100,0)))</f>
        <v/>
      </c>
      <c r="U100" s="16">
        <f>IF(A100="","",IF(P100=TRUE,0,IFERROR(J100,0)))</f>
        <v/>
      </c>
      <c r="V100" s="16">
        <f>IF(A100="","",IF(P100=TRUE,0,IFERROR(K100,0)))</f>
        <v/>
      </c>
      <c r="W100" s="16">
        <f>IF(A100="","",IF(P100=TRUE,0,IFERROR(L100,0)))</f>
        <v/>
      </c>
      <c r="X100" s="16">
        <f>IF(A100="","",IF(P100=TRUE,0,IFERROR(H100,0)+IFERROR(I100,0)+IFERROR(L100,0)))</f>
        <v/>
      </c>
      <c r="Y100" s="16">
        <f>IF(A100="",0,IF(G100=TRUE,IFERROR(H100,0)+IFERROR(I100,0)+IFERROR(J100,0)+IFERROR(K100,0)+IFERROR(L100,0),0))</f>
        <v/>
      </c>
      <c r="Z100" s="16">
        <f>IF(A100="",0,IF(AND(O100=TRUE,G100&lt;&gt;TRUE),IFERROR(H100,0)+IFERROR(I100,0)+IFERROR(J100,0)+IFERROR(K100,0)+IFERROR(L100,0),0))</f>
        <v/>
      </c>
    </row>
    <row r="101">
      <c r="A101" s="10" t="n"/>
      <c r="B101" s="10" t="n"/>
      <c r="C101" s="11" t="n"/>
      <c r="D101" s="11" t="n"/>
      <c r="E101" s="10" t="n"/>
      <c r="F101" s="10" t="n"/>
      <c r="G101" s="12" t="n"/>
      <c r="H101" s="13" t="n"/>
      <c r="I101" s="13" t="n"/>
      <c r="J101" s="13" t="n"/>
      <c r="K101" s="13" t="n"/>
      <c r="L101" s="13" t="n"/>
      <c r="M101" s="14">
        <f>IFERROR(IF(A101="","",IFERROR(VLOOKUP(A101,Raw_PriorMonth!A:E,5,FALSE),0)),0)</f>
        <v/>
      </c>
      <c r="N101" s="14">
        <f>IF(A101="","",IFERROR(E101,0)+IFERROR(M101,0))</f>
        <v/>
      </c>
      <c r="O101" s="15">
        <f>IF(A101="","",IF(N101&gt;=28,TRUE,FALSE))</f>
        <v/>
      </c>
      <c r="P101" s="15">
        <f>IF(A101="","",OR(G101=TRUE,O101=TRUE))</f>
        <v/>
      </c>
      <c r="Q101" s="16">
        <f>IF(A101="","",IFERROR(H101,0)+IFERROR(I101,0)+IFERROR(J101,0)+IFERROR(K101,0)+IFERROR(L101,0))</f>
        <v/>
      </c>
      <c r="R101" s="16">
        <f>IF(A101="","",IF(P101=TRUE,0,Q101))</f>
        <v/>
      </c>
      <c r="S101" s="16">
        <f>IF(A101="","",IF(P101=TRUE,0,IFERROR(H101,0)))</f>
        <v/>
      </c>
      <c r="T101" s="16">
        <f>IF(A101="","",IF(P101=TRUE,0,IFERROR(I101,0)))</f>
        <v/>
      </c>
      <c r="U101" s="16">
        <f>IF(A101="","",IF(P101=TRUE,0,IFERROR(J101,0)))</f>
        <v/>
      </c>
      <c r="V101" s="16">
        <f>IF(A101="","",IF(P101=TRUE,0,IFERROR(K101,0)))</f>
        <v/>
      </c>
      <c r="W101" s="16">
        <f>IF(A101="","",IF(P101=TRUE,0,IFERROR(L101,0)))</f>
        <v/>
      </c>
      <c r="X101" s="16">
        <f>IF(A101="","",IF(P101=TRUE,0,IFERROR(H101,0)+IFERROR(I101,0)+IFERROR(L101,0)))</f>
        <v/>
      </c>
      <c r="Y101" s="16">
        <f>IF(A101="",0,IF(G101=TRUE,IFERROR(H101,0)+IFERROR(I101,0)+IFERROR(J101,0)+IFERROR(K101,0)+IFERROR(L101,0),0))</f>
        <v/>
      </c>
      <c r="Z101" s="16">
        <f>IF(A101="",0,IF(AND(O101=TRUE,G101&lt;&gt;TRUE),IFERROR(H101,0)+IFERROR(I101,0)+IFERROR(J101,0)+IFERROR(K101,0)+IFERROR(L101,0),0))</f>
        <v/>
      </c>
    </row>
    <row r="102">
      <c r="A102" s="10" t="n"/>
      <c r="B102" s="10" t="n"/>
      <c r="C102" s="11" t="n"/>
      <c r="D102" s="11" t="n"/>
      <c r="E102" s="10" t="n"/>
      <c r="F102" s="10" t="n"/>
      <c r="G102" s="12" t="n"/>
      <c r="H102" s="13" t="n"/>
      <c r="I102" s="13" t="n"/>
      <c r="J102" s="13" t="n"/>
      <c r="K102" s="13" t="n"/>
      <c r="L102" s="13" t="n"/>
      <c r="M102" s="14">
        <f>IFERROR(IF(A102="","",IFERROR(VLOOKUP(A102,Raw_PriorMonth!A:E,5,FALSE),0)),0)</f>
        <v/>
      </c>
      <c r="N102" s="14">
        <f>IF(A102="","",IFERROR(E102,0)+IFERROR(M102,0))</f>
        <v/>
      </c>
      <c r="O102" s="15">
        <f>IF(A102="","",IF(N102&gt;=28,TRUE,FALSE))</f>
        <v/>
      </c>
      <c r="P102" s="15">
        <f>IF(A102="","",OR(G102=TRUE,O102=TRUE))</f>
        <v/>
      </c>
      <c r="Q102" s="16">
        <f>IF(A102="","",IFERROR(H102,0)+IFERROR(I102,0)+IFERROR(J102,0)+IFERROR(K102,0)+IFERROR(L102,0))</f>
        <v/>
      </c>
      <c r="R102" s="16">
        <f>IF(A102="","",IF(P102=TRUE,0,Q102))</f>
        <v/>
      </c>
      <c r="S102" s="16">
        <f>IF(A102="","",IF(P102=TRUE,0,IFERROR(H102,0)))</f>
        <v/>
      </c>
      <c r="T102" s="16">
        <f>IF(A102="","",IF(P102=TRUE,0,IFERROR(I102,0)))</f>
        <v/>
      </c>
      <c r="U102" s="16">
        <f>IF(A102="","",IF(P102=TRUE,0,IFERROR(J102,0)))</f>
        <v/>
      </c>
      <c r="V102" s="16">
        <f>IF(A102="","",IF(P102=TRUE,0,IFERROR(K102,0)))</f>
        <v/>
      </c>
      <c r="W102" s="16">
        <f>IF(A102="","",IF(P102=TRUE,0,IFERROR(L102,0)))</f>
        <v/>
      </c>
      <c r="X102" s="16">
        <f>IF(A102="","",IF(P102=TRUE,0,IFERROR(H102,0)+IFERROR(I102,0)+IFERROR(L102,0)))</f>
        <v/>
      </c>
      <c r="Y102" s="16">
        <f>IF(A102="",0,IF(G102=TRUE,IFERROR(H102,0)+IFERROR(I102,0)+IFERROR(J102,0)+IFERROR(K102,0)+IFERROR(L102,0),0))</f>
        <v/>
      </c>
      <c r="Z102" s="16">
        <f>IF(A102="",0,IF(AND(O102=TRUE,G102&lt;&gt;TRUE),IFERROR(H102,0)+IFERROR(I102,0)+IFERROR(J102,0)+IFERROR(K102,0)+IFERROR(L102,0),0))</f>
        <v/>
      </c>
    </row>
    <row r="103">
      <c r="A103" s="10" t="n"/>
      <c r="B103" s="10" t="n"/>
      <c r="C103" s="11" t="n"/>
      <c r="D103" s="11" t="n"/>
      <c r="E103" s="10" t="n"/>
      <c r="F103" s="10" t="n"/>
      <c r="G103" s="12" t="n"/>
      <c r="H103" s="13" t="n"/>
      <c r="I103" s="13" t="n"/>
      <c r="J103" s="13" t="n"/>
      <c r="K103" s="13" t="n"/>
      <c r="L103" s="13" t="n"/>
      <c r="M103" s="14">
        <f>IFERROR(IF(A103="","",IFERROR(VLOOKUP(A103,Raw_PriorMonth!A:E,5,FALSE),0)),0)</f>
        <v/>
      </c>
      <c r="N103" s="14">
        <f>IF(A103="","",IFERROR(E103,0)+IFERROR(M103,0))</f>
        <v/>
      </c>
      <c r="O103" s="15">
        <f>IF(A103="","",IF(N103&gt;=28,TRUE,FALSE))</f>
        <v/>
      </c>
      <c r="P103" s="15">
        <f>IF(A103="","",OR(G103=TRUE,O103=TRUE))</f>
        <v/>
      </c>
      <c r="Q103" s="16">
        <f>IF(A103="","",IFERROR(H103,0)+IFERROR(I103,0)+IFERROR(J103,0)+IFERROR(K103,0)+IFERROR(L103,0))</f>
        <v/>
      </c>
      <c r="R103" s="16">
        <f>IF(A103="","",IF(P103=TRUE,0,Q103))</f>
        <v/>
      </c>
      <c r="S103" s="16">
        <f>IF(A103="","",IF(P103=TRUE,0,IFERROR(H103,0)))</f>
        <v/>
      </c>
      <c r="T103" s="16">
        <f>IF(A103="","",IF(P103=TRUE,0,IFERROR(I103,0)))</f>
        <v/>
      </c>
      <c r="U103" s="16">
        <f>IF(A103="","",IF(P103=TRUE,0,IFERROR(J103,0)))</f>
        <v/>
      </c>
      <c r="V103" s="16">
        <f>IF(A103="","",IF(P103=TRUE,0,IFERROR(K103,0)))</f>
        <v/>
      </c>
      <c r="W103" s="16">
        <f>IF(A103="","",IF(P103=TRUE,0,IFERROR(L103,0)))</f>
        <v/>
      </c>
      <c r="X103" s="16">
        <f>IF(A103="","",IF(P103=TRUE,0,IFERROR(H103,0)+IFERROR(I103,0)+IFERROR(L103,0)))</f>
        <v/>
      </c>
      <c r="Y103" s="16">
        <f>IF(A103="",0,IF(G103=TRUE,IFERROR(H103,0)+IFERROR(I103,0)+IFERROR(J103,0)+IFERROR(K103,0)+IFERROR(L103,0),0))</f>
        <v/>
      </c>
      <c r="Z103" s="16">
        <f>IF(A103="",0,IF(AND(O103=TRUE,G103&lt;&gt;TRUE),IFERROR(H103,0)+IFERROR(I103,0)+IFERROR(J103,0)+IFERROR(K103,0)+IFERROR(L103,0),0))</f>
        <v/>
      </c>
    </row>
    <row r="104">
      <c r="A104" s="10" t="n"/>
      <c r="B104" s="10" t="n"/>
      <c r="C104" s="11" t="n"/>
      <c r="D104" s="11" t="n"/>
      <c r="E104" s="10" t="n"/>
      <c r="F104" s="10" t="n"/>
      <c r="G104" s="12" t="n"/>
      <c r="H104" s="13" t="n"/>
      <c r="I104" s="13" t="n"/>
      <c r="J104" s="13" t="n"/>
      <c r="K104" s="13" t="n"/>
      <c r="L104" s="13" t="n"/>
      <c r="M104" s="14">
        <f>IFERROR(IF(A104="","",IFERROR(VLOOKUP(A104,Raw_PriorMonth!A:E,5,FALSE),0)),0)</f>
        <v/>
      </c>
      <c r="N104" s="14">
        <f>IF(A104="","",IFERROR(E104,0)+IFERROR(M104,0))</f>
        <v/>
      </c>
      <c r="O104" s="15">
        <f>IF(A104="","",IF(N104&gt;=28,TRUE,FALSE))</f>
        <v/>
      </c>
      <c r="P104" s="15">
        <f>IF(A104="","",OR(G104=TRUE,O104=TRUE))</f>
        <v/>
      </c>
      <c r="Q104" s="16">
        <f>IF(A104="","",IFERROR(H104,0)+IFERROR(I104,0)+IFERROR(J104,0)+IFERROR(K104,0)+IFERROR(L104,0))</f>
        <v/>
      </c>
      <c r="R104" s="16">
        <f>IF(A104="","",IF(P104=TRUE,0,Q104))</f>
        <v/>
      </c>
      <c r="S104" s="16">
        <f>IF(A104="","",IF(P104=TRUE,0,IFERROR(H104,0)))</f>
        <v/>
      </c>
      <c r="T104" s="16">
        <f>IF(A104="","",IF(P104=TRUE,0,IFERROR(I104,0)))</f>
        <v/>
      </c>
      <c r="U104" s="16">
        <f>IF(A104="","",IF(P104=TRUE,0,IFERROR(J104,0)))</f>
        <v/>
      </c>
      <c r="V104" s="16">
        <f>IF(A104="","",IF(P104=TRUE,0,IFERROR(K104,0)))</f>
        <v/>
      </c>
      <c r="W104" s="16">
        <f>IF(A104="","",IF(P104=TRUE,0,IFERROR(L104,0)))</f>
        <v/>
      </c>
      <c r="X104" s="16">
        <f>IF(A104="","",IF(P104=TRUE,0,IFERROR(H104,0)+IFERROR(I104,0)+IFERROR(L104,0)))</f>
        <v/>
      </c>
      <c r="Y104" s="16">
        <f>IF(A104="",0,IF(G104=TRUE,IFERROR(H104,0)+IFERROR(I104,0)+IFERROR(J104,0)+IFERROR(K104,0)+IFERROR(L104,0),0))</f>
        <v/>
      </c>
      <c r="Z104" s="16">
        <f>IF(A104="",0,IF(AND(O104=TRUE,G104&lt;&gt;TRUE),IFERROR(H104,0)+IFERROR(I104,0)+IFERROR(J104,0)+IFERROR(K104,0)+IFERROR(L104,0),0))</f>
        <v/>
      </c>
    </row>
    <row r="105">
      <c r="A105" s="10" t="n"/>
      <c r="B105" s="10" t="n"/>
      <c r="C105" s="11" t="n"/>
      <c r="D105" s="11" t="n"/>
      <c r="E105" s="10" t="n"/>
      <c r="F105" s="10" t="n"/>
      <c r="G105" s="12" t="n"/>
      <c r="H105" s="13" t="n"/>
      <c r="I105" s="13" t="n"/>
      <c r="J105" s="13" t="n"/>
      <c r="K105" s="13" t="n"/>
      <c r="L105" s="13" t="n"/>
      <c r="M105" s="14">
        <f>IFERROR(IF(A105="","",IFERROR(VLOOKUP(A105,Raw_PriorMonth!A:E,5,FALSE),0)),0)</f>
        <v/>
      </c>
      <c r="N105" s="14">
        <f>IF(A105="","",IFERROR(E105,0)+IFERROR(M105,0))</f>
        <v/>
      </c>
      <c r="O105" s="15">
        <f>IF(A105="","",IF(N105&gt;=28,TRUE,FALSE))</f>
        <v/>
      </c>
      <c r="P105" s="15">
        <f>IF(A105="","",OR(G105=TRUE,O105=TRUE))</f>
        <v/>
      </c>
      <c r="Q105" s="16">
        <f>IF(A105="","",IFERROR(H105,0)+IFERROR(I105,0)+IFERROR(J105,0)+IFERROR(K105,0)+IFERROR(L105,0))</f>
        <v/>
      </c>
      <c r="R105" s="16">
        <f>IF(A105="","",IF(P105=TRUE,0,Q105))</f>
        <v/>
      </c>
      <c r="S105" s="16">
        <f>IF(A105="","",IF(P105=TRUE,0,IFERROR(H105,0)))</f>
        <v/>
      </c>
      <c r="T105" s="16">
        <f>IF(A105="","",IF(P105=TRUE,0,IFERROR(I105,0)))</f>
        <v/>
      </c>
      <c r="U105" s="16">
        <f>IF(A105="","",IF(P105=TRUE,0,IFERROR(J105,0)))</f>
        <v/>
      </c>
      <c r="V105" s="16">
        <f>IF(A105="","",IF(P105=TRUE,0,IFERROR(K105,0)))</f>
        <v/>
      </c>
      <c r="W105" s="16">
        <f>IF(A105="","",IF(P105=TRUE,0,IFERROR(L105,0)))</f>
        <v/>
      </c>
      <c r="X105" s="16">
        <f>IF(A105="","",IF(P105=TRUE,0,IFERROR(H105,0)+IFERROR(I105,0)+IFERROR(L105,0)))</f>
        <v/>
      </c>
      <c r="Y105" s="16">
        <f>IF(A105="",0,IF(G105=TRUE,IFERROR(H105,0)+IFERROR(I105,0)+IFERROR(J105,0)+IFERROR(K105,0)+IFERROR(L105,0),0))</f>
        <v/>
      </c>
      <c r="Z105" s="16">
        <f>IF(A105="",0,IF(AND(O105=TRUE,G105&lt;&gt;TRUE),IFERROR(H105,0)+IFERROR(I105,0)+IFERROR(J105,0)+IFERROR(K105,0)+IFERROR(L105,0),0))</f>
        <v/>
      </c>
    </row>
    <row r="106">
      <c r="A106" s="10" t="n"/>
      <c r="B106" s="10" t="n"/>
      <c r="C106" s="11" t="n"/>
      <c r="D106" s="11" t="n"/>
      <c r="E106" s="10" t="n"/>
      <c r="F106" s="10" t="n"/>
      <c r="G106" s="12" t="n"/>
      <c r="H106" s="13" t="n"/>
      <c r="I106" s="13" t="n"/>
      <c r="J106" s="13" t="n"/>
      <c r="K106" s="13" t="n"/>
      <c r="L106" s="13" t="n"/>
      <c r="M106" s="14">
        <f>IFERROR(IF(A106="","",IFERROR(VLOOKUP(A106,Raw_PriorMonth!A:E,5,FALSE),0)),0)</f>
        <v/>
      </c>
      <c r="N106" s="14">
        <f>IF(A106="","",IFERROR(E106,0)+IFERROR(M106,0))</f>
        <v/>
      </c>
      <c r="O106" s="15">
        <f>IF(A106="","",IF(N106&gt;=28,TRUE,FALSE))</f>
        <v/>
      </c>
      <c r="P106" s="15">
        <f>IF(A106="","",OR(G106=TRUE,O106=TRUE))</f>
        <v/>
      </c>
      <c r="Q106" s="16">
        <f>IF(A106="","",IFERROR(H106,0)+IFERROR(I106,0)+IFERROR(J106,0)+IFERROR(K106,0)+IFERROR(L106,0))</f>
        <v/>
      </c>
      <c r="R106" s="16">
        <f>IF(A106="","",IF(P106=TRUE,0,Q106))</f>
        <v/>
      </c>
      <c r="S106" s="16">
        <f>IF(A106="","",IF(P106=TRUE,0,IFERROR(H106,0)))</f>
        <v/>
      </c>
      <c r="T106" s="16">
        <f>IF(A106="","",IF(P106=TRUE,0,IFERROR(I106,0)))</f>
        <v/>
      </c>
      <c r="U106" s="16">
        <f>IF(A106="","",IF(P106=TRUE,0,IFERROR(J106,0)))</f>
        <v/>
      </c>
      <c r="V106" s="16">
        <f>IF(A106="","",IF(P106=TRUE,0,IFERROR(K106,0)))</f>
        <v/>
      </c>
      <c r="W106" s="16">
        <f>IF(A106="","",IF(P106=TRUE,0,IFERROR(L106,0)))</f>
        <v/>
      </c>
      <c r="X106" s="16">
        <f>IF(A106="","",IF(P106=TRUE,0,IFERROR(H106,0)+IFERROR(I106,0)+IFERROR(L106,0)))</f>
        <v/>
      </c>
      <c r="Y106" s="16">
        <f>IF(A106="",0,IF(G106=TRUE,IFERROR(H106,0)+IFERROR(I106,0)+IFERROR(J106,0)+IFERROR(K106,0)+IFERROR(L106,0),0))</f>
        <v/>
      </c>
      <c r="Z106" s="16">
        <f>IF(A106="",0,IF(AND(O106=TRUE,G106&lt;&gt;TRUE),IFERROR(H106,0)+IFERROR(I106,0)+IFERROR(J106,0)+IFERROR(K106,0)+IFERROR(L106,0),0))</f>
        <v/>
      </c>
    </row>
    <row r="107">
      <c r="A107" s="10" t="n"/>
      <c r="B107" s="10" t="n"/>
      <c r="C107" s="11" t="n"/>
      <c r="D107" s="11" t="n"/>
      <c r="E107" s="10" t="n"/>
      <c r="F107" s="10" t="n"/>
      <c r="G107" s="12" t="n"/>
      <c r="H107" s="13" t="n"/>
      <c r="I107" s="13" t="n"/>
      <c r="J107" s="13" t="n"/>
      <c r="K107" s="13" t="n"/>
      <c r="L107" s="13" t="n"/>
      <c r="M107" s="14">
        <f>IFERROR(IF(A107="","",IFERROR(VLOOKUP(A107,Raw_PriorMonth!A:E,5,FALSE),0)),0)</f>
        <v/>
      </c>
      <c r="N107" s="14">
        <f>IF(A107="","",IFERROR(E107,0)+IFERROR(M107,0))</f>
        <v/>
      </c>
      <c r="O107" s="15">
        <f>IF(A107="","",IF(N107&gt;=28,TRUE,FALSE))</f>
        <v/>
      </c>
      <c r="P107" s="15">
        <f>IF(A107="","",OR(G107=TRUE,O107=TRUE))</f>
        <v/>
      </c>
      <c r="Q107" s="16">
        <f>IF(A107="","",IFERROR(H107,0)+IFERROR(I107,0)+IFERROR(J107,0)+IFERROR(K107,0)+IFERROR(L107,0))</f>
        <v/>
      </c>
      <c r="R107" s="16">
        <f>IF(A107="","",IF(P107=TRUE,0,Q107))</f>
        <v/>
      </c>
      <c r="S107" s="16">
        <f>IF(A107="","",IF(P107=TRUE,0,IFERROR(H107,0)))</f>
        <v/>
      </c>
      <c r="T107" s="16">
        <f>IF(A107="","",IF(P107=TRUE,0,IFERROR(I107,0)))</f>
        <v/>
      </c>
      <c r="U107" s="16">
        <f>IF(A107="","",IF(P107=TRUE,0,IFERROR(J107,0)))</f>
        <v/>
      </c>
      <c r="V107" s="16">
        <f>IF(A107="","",IF(P107=TRUE,0,IFERROR(K107,0)))</f>
        <v/>
      </c>
      <c r="W107" s="16">
        <f>IF(A107="","",IF(P107=TRUE,0,IFERROR(L107,0)))</f>
        <v/>
      </c>
      <c r="X107" s="16">
        <f>IF(A107="","",IF(P107=TRUE,0,IFERROR(H107,0)+IFERROR(I107,0)+IFERROR(L107,0)))</f>
        <v/>
      </c>
      <c r="Y107" s="16">
        <f>IF(A107="",0,IF(G107=TRUE,IFERROR(H107,0)+IFERROR(I107,0)+IFERROR(J107,0)+IFERROR(K107,0)+IFERROR(L107,0),0))</f>
        <v/>
      </c>
      <c r="Z107" s="16">
        <f>IF(A107="",0,IF(AND(O107=TRUE,G107&lt;&gt;TRUE),IFERROR(H107,0)+IFERROR(I107,0)+IFERROR(J107,0)+IFERROR(K107,0)+IFERROR(L107,0),0))</f>
        <v/>
      </c>
    </row>
    <row r="108">
      <c r="A108" s="10" t="n"/>
      <c r="B108" s="10" t="n"/>
      <c r="C108" s="11" t="n"/>
      <c r="D108" s="11" t="n"/>
      <c r="E108" s="10" t="n"/>
      <c r="F108" s="10" t="n"/>
      <c r="G108" s="12" t="n"/>
      <c r="H108" s="13" t="n"/>
      <c r="I108" s="13" t="n"/>
      <c r="J108" s="13" t="n"/>
      <c r="K108" s="13" t="n"/>
      <c r="L108" s="13" t="n"/>
      <c r="M108" s="14">
        <f>IFERROR(IF(A108="","",IFERROR(VLOOKUP(A108,Raw_PriorMonth!A:E,5,FALSE),0)),0)</f>
        <v/>
      </c>
      <c r="N108" s="14">
        <f>IF(A108="","",IFERROR(E108,0)+IFERROR(M108,0))</f>
        <v/>
      </c>
      <c r="O108" s="15">
        <f>IF(A108="","",IF(N108&gt;=28,TRUE,FALSE))</f>
        <v/>
      </c>
      <c r="P108" s="15">
        <f>IF(A108="","",OR(G108=TRUE,O108=TRUE))</f>
        <v/>
      </c>
      <c r="Q108" s="16">
        <f>IF(A108="","",IFERROR(H108,0)+IFERROR(I108,0)+IFERROR(J108,0)+IFERROR(K108,0)+IFERROR(L108,0))</f>
        <v/>
      </c>
      <c r="R108" s="16">
        <f>IF(A108="","",IF(P108=TRUE,0,Q108))</f>
        <v/>
      </c>
      <c r="S108" s="16">
        <f>IF(A108="","",IF(P108=TRUE,0,IFERROR(H108,0)))</f>
        <v/>
      </c>
      <c r="T108" s="16">
        <f>IF(A108="","",IF(P108=TRUE,0,IFERROR(I108,0)))</f>
        <v/>
      </c>
      <c r="U108" s="16">
        <f>IF(A108="","",IF(P108=TRUE,0,IFERROR(J108,0)))</f>
        <v/>
      </c>
      <c r="V108" s="16">
        <f>IF(A108="","",IF(P108=TRUE,0,IFERROR(K108,0)))</f>
        <v/>
      </c>
      <c r="W108" s="16">
        <f>IF(A108="","",IF(P108=TRUE,0,IFERROR(L108,0)))</f>
        <v/>
      </c>
      <c r="X108" s="16">
        <f>IF(A108="","",IF(P108=TRUE,0,IFERROR(H108,0)+IFERROR(I108,0)+IFERROR(L108,0)))</f>
        <v/>
      </c>
      <c r="Y108" s="16">
        <f>IF(A108="",0,IF(G108=TRUE,IFERROR(H108,0)+IFERROR(I108,0)+IFERROR(J108,0)+IFERROR(K108,0)+IFERROR(L108,0),0))</f>
        <v/>
      </c>
      <c r="Z108" s="16">
        <f>IF(A108="",0,IF(AND(O108=TRUE,G108&lt;&gt;TRUE),IFERROR(H108,0)+IFERROR(I108,0)+IFERROR(J108,0)+IFERROR(K108,0)+IFERROR(L108,0),0))</f>
        <v/>
      </c>
    </row>
    <row r="109">
      <c r="A109" s="10" t="n"/>
      <c r="B109" s="10" t="n"/>
      <c r="C109" s="11" t="n"/>
      <c r="D109" s="11" t="n"/>
      <c r="E109" s="10" t="n"/>
      <c r="F109" s="10" t="n"/>
      <c r="G109" s="12" t="n"/>
      <c r="H109" s="13" t="n"/>
      <c r="I109" s="13" t="n"/>
      <c r="J109" s="13" t="n"/>
      <c r="K109" s="13" t="n"/>
      <c r="L109" s="13" t="n"/>
      <c r="M109" s="14">
        <f>IFERROR(IF(A109="","",IFERROR(VLOOKUP(A109,Raw_PriorMonth!A:E,5,FALSE),0)),0)</f>
        <v/>
      </c>
      <c r="N109" s="14">
        <f>IF(A109="","",IFERROR(E109,0)+IFERROR(M109,0))</f>
        <v/>
      </c>
      <c r="O109" s="15">
        <f>IF(A109="","",IF(N109&gt;=28,TRUE,FALSE))</f>
        <v/>
      </c>
      <c r="P109" s="15">
        <f>IF(A109="","",OR(G109=TRUE,O109=TRUE))</f>
        <v/>
      </c>
      <c r="Q109" s="16">
        <f>IF(A109="","",IFERROR(H109,0)+IFERROR(I109,0)+IFERROR(J109,0)+IFERROR(K109,0)+IFERROR(L109,0))</f>
        <v/>
      </c>
      <c r="R109" s="16">
        <f>IF(A109="","",IF(P109=TRUE,0,Q109))</f>
        <v/>
      </c>
      <c r="S109" s="16">
        <f>IF(A109="","",IF(P109=TRUE,0,IFERROR(H109,0)))</f>
        <v/>
      </c>
      <c r="T109" s="16">
        <f>IF(A109="","",IF(P109=TRUE,0,IFERROR(I109,0)))</f>
        <v/>
      </c>
      <c r="U109" s="16">
        <f>IF(A109="","",IF(P109=TRUE,0,IFERROR(J109,0)))</f>
        <v/>
      </c>
      <c r="V109" s="16">
        <f>IF(A109="","",IF(P109=TRUE,0,IFERROR(K109,0)))</f>
        <v/>
      </c>
      <c r="W109" s="16">
        <f>IF(A109="","",IF(P109=TRUE,0,IFERROR(L109,0)))</f>
        <v/>
      </c>
      <c r="X109" s="16">
        <f>IF(A109="","",IF(P109=TRUE,0,IFERROR(H109,0)+IFERROR(I109,0)+IFERROR(L109,0)))</f>
        <v/>
      </c>
      <c r="Y109" s="16">
        <f>IF(A109="",0,IF(G109=TRUE,IFERROR(H109,0)+IFERROR(I109,0)+IFERROR(J109,0)+IFERROR(K109,0)+IFERROR(L109,0),0))</f>
        <v/>
      </c>
      <c r="Z109" s="16">
        <f>IF(A109="",0,IF(AND(O109=TRUE,G109&lt;&gt;TRUE),IFERROR(H109,0)+IFERROR(I109,0)+IFERROR(J109,0)+IFERROR(K109,0)+IFERROR(L109,0),0))</f>
        <v/>
      </c>
    </row>
    <row r="110">
      <c r="A110" s="10" t="n"/>
      <c r="B110" s="10" t="n"/>
      <c r="C110" s="11" t="n"/>
      <c r="D110" s="11" t="n"/>
      <c r="E110" s="10" t="n"/>
      <c r="F110" s="10" t="n"/>
      <c r="G110" s="12" t="n"/>
      <c r="H110" s="13" t="n"/>
      <c r="I110" s="13" t="n"/>
      <c r="J110" s="13" t="n"/>
      <c r="K110" s="13" t="n"/>
      <c r="L110" s="13" t="n"/>
      <c r="M110" s="14">
        <f>IFERROR(IF(A110="","",IFERROR(VLOOKUP(A110,Raw_PriorMonth!A:E,5,FALSE),0)),0)</f>
        <v/>
      </c>
      <c r="N110" s="14">
        <f>IF(A110="","",IFERROR(E110,0)+IFERROR(M110,0))</f>
        <v/>
      </c>
      <c r="O110" s="15">
        <f>IF(A110="","",IF(N110&gt;=28,TRUE,FALSE))</f>
        <v/>
      </c>
      <c r="P110" s="15">
        <f>IF(A110="","",OR(G110=TRUE,O110=TRUE))</f>
        <v/>
      </c>
      <c r="Q110" s="16">
        <f>IF(A110="","",IFERROR(H110,0)+IFERROR(I110,0)+IFERROR(J110,0)+IFERROR(K110,0)+IFERROR(L110,0))</f>
        <v/>
      </c>
      <c r="R110" s="16">
        <f>IF(A110="","",IF(P110=TRUE,0,Q110))</f>
        <v/>
      </c>
      <c r="S110" s="16">
        <f>IF(A110="","",IF(P110=TRUE,0,IFERROR(H110,0)))</f>
        <v/>
      </c>
      <c r="T110" s="16">
        <f>IF(A110="","",IF(P110=TRUE,0,IFERROR(I110,0)))</f>
        <v/>
      </c>
      <c r="U110" s="16">
        <f>IF(A110="","",IF(P110=TRUE,0,IFERROR(J110,0)))</f>
        <v/>
      </c>
      <c r="V110" s="16">
        <f>IF(A110="","",IF(P110=TRUE,0,IFERROR(K110,0)))</f>
        <v/>
      </c>
      <c r="W110" s="16">
        <f>IF(A110="","",IF(P110=TRUE,0,IFERROR(L110,0)))</f>
        <v/>
      </c>
      <c r="X110" s="16">
        <f>IF(A110="","",IF(P110=TRUE,0,IFERROR(H110,0)+IFERROR(I110,0)+IFERROR(L110,0)))</f>
        <v/>
      </c>
      <c r="Y110" s="16">
        <f>IF(A110="",0,IF(G110=TRUE,IFERROR(H110,0)+IFERROR(I110,0)+IFERROR(J110,0)+IFERROR(K110,0)+IFERROR(L110,0),0))</f>
        <v/>
      </c>
      <c r="Z110" s="16">
        <f>IF(A110="",0,IF(AND(O110=TRUE,G110&lt;&gt;TRUE),IFERROR(H110,0)+IFERROR(I110,0)+IFERROR(J110,0)+IFERROR(K110,0)+IFERROR(L110,0),0))</f>
        <v/>
      </c>
    </row>
    <row r="111">
      <c r="A111" s="10" t="n"/>
      <c r="B111" s="10" t="n"/>
      <c r="C111" s="11" t="n"/>
      <c r="D111" s="11" t="n"/>
      <c r="E111" s="10" t="n"/>
      <c r="F111" s="10" t="n"/>
      <c r="G111" s="12" t="n"/>
      <c r="H111" s="13" t="n"/>
      <c r="I111" s="13" t="n"/>
      <c r="J111" s="13" t="n"/>
      <c r="K111" s="13" t="n"/>
      <c r="L111" s="13" t="n"/>
      <c r="M111" s="14">
        <f>IFERROR(IF(A111="","",IFERROR(VLOOKUP(A111,Raw_PriorMonth!A:E,5,FALSE),0)),0)</f>
        <v/>
      </c>
      <c r="N111" s="14">
        <f>IF(A111="","",IFERROR(E111,0)+IFERROR(M111,0))</f>
        <v/>
      </c>
      <c r="O111" s="15">
        <f>IF(A111="","",IF(N111&gt;=28,TRUE,FALSE))</f>
        <v/>
      </c>
      <c r="P111" s="15">
        <f>IF(A111="","",OR(G111=TRUE,O111=TRUE))</f>
        <v/>
      </c>
      <c r="Q111" s="16">
        <f>IF(A111="","",IFERROR(H111,0)+IFERROR(I111,0)+IFERROR(J111,0)+IFERROR(K111,0)+IFERROR(L111,0))</f>
        <v/>
      </c>
      <c r="R111" s="16">
        <f>IF(A111="","",IF(P111=TRUE,0,Q111))</f>
        <v/>
      </c>
      <c r="S111" s="16">
        <f>IF(A111="","",IF(P111=TRUE,0,IFERROR(H111,0)))</f>
        <v/>
      </c>
      <c r="T111" s="16">
        <f>IF(A111="","",IF(P111=TRUE,0,IFERROR(I111,0)))</f>
        <v/>
      </c>
      <c r="U111" s="16">
        <f>IF(A111="","",IF(P111=TRUE,0,IFERROR(J111,0)))</f>
        <v/>
      </c>
      <c r="V111" s="16">
        <f>IF(A111="","",IF(P111=TRUE,0,IFERROR(K111,0)))</f>
        <v/>
      </c>
      <c r="W111" s="16">
        <f>IF(A111="","",IF(P111=TRUE,0,IFERROR(L111,0)))</f>
        <v/>
      </c>
      <c r="X111" s="16">
        <f>IF(A111="","",IF(P111=TRUE,0,IFERROR(H111,0)+IFERROR(I111,0)+IFERROR(L111,0)))</f>
        <v/>
      </c>
      <c r="Y111" s="16">
        <f>IF(A111="",0,IF(G111=TRUE,IFERROR(H111,0)+IFERROR(I111,0)+IFERROR(J111,0)+IFERROR(K111,0)+IFERROR(L111,0),0))</f>
        <v/>
      </c>
      <c r="Z111" s="16">
        <f>IF(A111="",0,IF(AND(O111=TRUE,G111&lt;&gt;TRUE),IFERROR(H111,0)+IFERROR(I111,0)+IFERROR(J111,0)+IFERROR(K111,0)+IFERROR(L111,0),0))</f>
        <v/>
      </c>
    </row>
    <row r="112">
      <c r="A112" s="10" t="n"/>
      <c r="B112" s="10" t="n"/>
      <c r="C112" s="11" t="n"/>
      <c r="D112" s="11" t="n"/>
      <c r="E112" s="10" t="n"/>
      <c r="F112" s="10" t="n"/>
      <c r="G112" s="12" t="n"/>
      <c r="H112" s="13" t="n"/>
      <c r="I112" s="13" t="n"/>
      <c r="J112" s="13" t="n"/>
      <c r="K112" s="13" t="n"/>
      <c r="L112" s="13" t="n"/>
      <c r="M112" s="14">
        <f>IFERROR(IF(A112="","",IFERROR(VLOOKUP(A112,Raw_PriorMonth!A:E,5,FALSE),0)),0)</f>
        <v/>
      </c>
      <c r="N112" s="14">
        <f>IF(A112="","",IFERROR(E112,0)+IFERROR(M112,0))</f>
        <v/>
      </c>
      <c r="O112" s="15">
        <f>IF(A112="","",IF(N112&gt;=28,TRUE,FALSE))</f>
        <v/>
      </c>
      <c r="P112" s="15">
        <f>IF(A112="","",OR(G112=TRUE,O112=TRUE))</f>
        <v/>
      </c>
      <c r="Q112" s="16">
        <f>IF(A112="","",IFERROR(H112,0)+IFERROR(I112,0)+IFERROR(J112,0)+IFERROR(K112,0)+IFERROR(L112,0))</f>
        <v/>
      </c>
      <c r="R112" s="16">
        <f>IF(A112="","",IF(P112=TRUE,0,Q112))</f>
        <v/>
      </c>
      <c r="S112" s="16">
        <f>IF(A112="","",IF(P112=TRUE,0,IFERROR(H112,0)))</f>
        <v/>
      </c>
      <c r="T112" s="16">
        <f>IF(A112="","",IF(P112=TRUE,0,IFERROR(I112,0)))</f>
        <v/>
      </c>
      <c r="U112" s="16">
        <f>IF(A112="","",IF(P112=TRUE,0,IFERROR(J112,0)))</f>
        <v/>
      </c>
      <c r="V112" s="16">
        <f>IF(A112="","",IF(P112=TRUE,0,IFERROR(K112,0)))</f>
        <v/>
      </c>
      <c r="W112" s="16">
        <f>IF(A112="","",IF(P112=TRUE,0,IFERROR(L112,0)))</f>
        <v/>
      </c>
      <c r="X112" s="16">
        <f>IF(A112="","",IF(P112=TRUE,0,IFERROR(H112,0)+IFERROR(I112,0)+IFERROR(L112,0)))</f>
        <v/>
      </c>
      <c r="Y112" s="16">
        <f>IF(A112="",0,IF(G112=TRUE,IFERROR(H112,0)+IFERROR(I112,0)+IFERROR(J112,0)+IFERROR(K112,0)+IFERROR(L112,0),0))</f>
        <v/>
      </c>
      <c r="Z112" s="16">
        <f>IF(A112="",0,IF(AND(O112=TRUE,G112&lt;&gt;TRUE),IFERROR(H112,0)+IFERROR(I112,0)+IFERROR(J112,0)+IFERROR(K112,0)+IFERROR(L112,0),0))</f>
        <v/>
      </c>
    </row>
    <row r="113">
      <c r="A113" s="10" t="n"/>
      <c r="B113" s="10" t="n"/>
      <c r="C113" s="11" t="n"/>
      <c r="D113" s="11" t="n"/>
      <c r="E113" s="10" t="n"/>
      <c r="F113" s="10" t="n"/>
      <c r="G113" s="12" t="n"/>
      <c r="H113" s="13" t="n"/>
      <c r="I113" s="13" t="n"/>
      <c r="J113" s="13" t="n"/>
      <c r="K113" s="13" t="n"/>
      <c r="L113" s="13" t="n"/>
      <c r="M113" s="14">
        <f>IFERROR(IF(A113="","",IFERROR(VLOOKUP(A113,Raw_PriorMonth!A:E,5,FALSE),0)),0)</f>
        <v/>
      </c>
      <c r="N113" s="14">
        <f>IF(A113="","",IFERROR(E113,0)+IFERROR(M113,0))</f>
        <v/>
      </c>
      <c r="O113" s="15">
        <f>IF(A113="","",IF(N113&gt;=28,TRUE,FALSE))</f>
        <v/>
      </c>
      <c r="P113" s="15">
        <f>IF(A113="","",OR(G113=TRUE,O113=TRUE))</f>
        <v/>
      </c>
      <c r="Q113" s="16">
        <f>IF(A113="","",IFERROR(H113,0)+IFERROR(I113,0)+IFERROR(J113,0)+IFERROR(K113,0)+IFERROR(L113,0))</f>
        <v/>
      </c>
      <c r="R113" s="16">
        <f>IF(A113="","",IF(P113=TRUE,0,Q113))</f>
        <v/>
      </c>
      <c r="S113" s="16">
        <f>IF(A113="","",IF(P113=TRUE,0,IFERROR(H113,0)))</f>
        <v/>
      </c>
      <c r="T113" s="16">
        <f>IF(A113="","",IF(P113=TRUE,0,IFERROR(I113,0)))</f>
        <v/>
      </c>
      <c r="U113" s="16">
        <f>IF(A113="","",IF(P113=TRUE,0,IFERROR(J113,0)))</f>
        <v/>
      </c>
      <c r="V113" s="16">
        <f>IF(A113="","",IF(P113=TRUE,0,IFERROR(K113,0)))</f>
        <v/>
      </c>
      <c r="W113" s="16">
        <f>IF(A113="","",IF(P113=TRUE,0,IFERROR(L113,0)))</f>
        <v/>
      </c>
      <c r="X113" s="16">
        <f>IF(A113="","",IF(P113=TRUE,0,IFERROR(H113,0)+IFERROR(I113,0)+IFERROR(L113,0)))</f>
        <v/>
      </c>
      <c r="Y113" s="16">
        <f>IF(A113="",0,IF(G113=TRUE,IFERROR(H113,0)+IFERROR(I113,0)+IFERROR(J113,0)+IFERROR(K113,0)+IFERROR(L113,0),0))</f>
        <v/>
      </c>
      <c r="Z113" s="16">
        <f>IF(A113="",0,IF(AND(O113=TRUE,G113&lt;&gt;TRUE),IFERROR(H113,0)+IFERROR(I113,0)+IFERROR(J113,0)+IFERROR(K113,0)+IFERROR(L113,0),0))</f>
        <v/>
      </c>
    </row>
    <row r="114">
      <c r="A114" s="10" t="n"/>
      <c r="B114" s="10" t="n"/>
      <c r="C114" s="11" t="n"/>
      <c r="D114" s="11" t="n"/>
      <c r="E114" s="10" t="n"/>
      <c r="F114" s="10" t="n"/>
      <c r="G114" s="12" t="n"/>
      <c r="H114" s="13" t="n"/>
      <c r="I114" s="13" t="n"/>
      <c r="J114" s="13" t="n"/>
      <c r="K114" s="13" t="n"/>
      <c r="L114" s="13" t="n"/>
      <c r="M114" s="14">
        <f>IFERROR(IF(A114="","",IFERROR(VLOOKUP(A114,Raw_PriorMonth!A:E,5,FALSE),0)),0)</f>
        <v/>
      </c>
      <c r="N114" s="14">
        <f>IF(A114="","",IFERROR(E114,0)+IFERROR(M114,0))</f>
        <v/>
      </c>
      <c r="O114" s="15">
        <f>IF(A114="","",IF(N114&gt;=28,TRUE,FALSE))</f>
        <v/>
      </c>
      <c r="P114" s="15">
        <f>IF(A114="","",OR(G114=TRUE,O114=TRUE))</f>
        <v/>
      </c>
      <c r="Q114" s="16">
        <f>IF(A114="","",IFERROR(H114,0)+IFERROR(I114,0)+IFERROR(J114,0)+IFERROR(K114,0)+IFERROR(L114,0))</f>
        <v/>
      </c>
      <c r="R114" s="16">
        <f>IF(A114="","",IF(P114=TRUE,0,Q114))</f>
        <v/>
      </c>
      <c r="S114" s="16">
        <f>IF(A114="","",IF(P114=TRUE,0,IFERROR(H114,0)))</f>
        <v/>
      </c>
      <c r="T114" s="16">
        <f>IF(A114="","",IF(P114=TRUE,0,IFERROR(I114,0)))</f>
        <v/>
      </c>
      <c r="U114" s="16">
        <f>IF(A114="","",IF(P114=TRUE,0,IFERROR(J114,0)))</f>
        <v/>
      </c>
      <c r="V114" s="16">
        <f>IF(A114="","",IF(P114=TRUE,0,IFERROR(K114,0)))</f>
        <v/>
      </c>
      <c r="W114" s="16">
        <f>IF(A114="","",IF(P114=TRUE,0,IFERROR(L114,0)))</f>
        <v/>
      </c>
      <c r="X114" s="16">
        <f>IF(A114="","",IF(P114=TRUE,0,IFERROR(H114,0)+IFERROR(I114,0)+IFERROR(L114,0)))</f>
        <v/>
      </c>
      <c r="Y114" s="16">
        <f>IF(A114="",0,IF(G114=TRUE,IFERROR(H114,0)+IFERROR(I114,0)+IFERROR(J114,0)+IFERROR(K114,0)+IFERROR(L114,0),0))</f>
        <v/>
      </c>
      <c r="Z114" s="16">
        <f>IF(A114="",0,IF(AND(O114=TRUE,G114&lt;&gt;TRUE),IFERROR(H114,0)+IFERROR(I114,0)+IFERROR(J114,0)+IFERROR(K114,0)+IFERROR(L114,0),0))</f>
        <v/>
      </c>
    </row>
    <row r="115">
      <c r="A115" s="10" t="n"/>
      <c r="B115" s="10" t="n"/>
      <c r="C115" s="11" t="n"/>
      <c r="D115" s="11" t="n"/>
      <c r="E115" s="10" t="n"/>
      <c r="F115" s="10" t="n"/>
      <c r="G115" s="12" t="n"/>
      <c r="H115" s="13" t="n"/>
      <c r="I115" s="13" t="n"/>
      <c r="J115" s="13" t="n"/>
      <c r="K115" s="13" t="n"/>
      <c r="L115" s="13" t="n"/>
      <c r="M115" s="14">
        <f>IFERROR(IF(A115="","",IFERROR(VLOOKUP(A115,Raw_PriorMonth!A:E,5,FALSE),0)),0)</f>
        <v/>
      </c>
      <c r="N115" s="14">
        <f>IF(A115="","",IFERROR(E115,0)+IFERROR(M115,0))</f>
        <v/>
      </c>
      <c r="O115" s="15">
        <f>IF(A115="","",IF(N115&gt;=28,TRUE,FALSE))</f>
        <v/>
      </c>
      <c r="P115" s="15">
        <f>IF(A115="","",OR(G115=TRUE,O115=TRUE))</f>
        <v/>
      </c>
      <c r="Q115" s="16">
        <f>IF(A115="","",IFERROR(H115,0)+IFERROR(I115,0)+IFERROR(J115,0)+IFERROR(K115,0)+IFERROR(L115,0))</f>
        <v/>
      </c>
      <c r="R115" s="16">
        <f>IF(A115="","",IF(P115=TRUE,0,Q115))</f>
        <v/>
      </c>
      <c r="S115" s="16">
        <f>IF(A115="","",IF(P115=TRUE,0,IFERROR(H115,0)))</f>
        <v/>
      </c>
      <c r="T115" s="16">
        <f>IF(A115="","",IF(P115=TRUE,0,IFERROR(I115,0)))</f>
        <v/>
      </c>
      <c r="U115" s="16">
        <f>IF(A115="","",IF(P115=TRUE,0,IFERROR(J115,0)))</f>
        <v/>
      </c>
      <c r="V115" s="16">
        <f>IF(A115="","",IF(P115=TRUE,0,IFERROR(K115,0)))</f>
        <v/>
      </c>
      <c r="W115" s="16">
        <f>IF(A115="","",IF(P115=TRUE,0,IFERROR(L115,0)))</f>
        <v/>
      </c>
      <c r="X115" s="16">
        <f>IF(A115="","",IF(P115=TRUE,0,IFERROR(H115,0)+IFERROR(I115,0)+IFERROR(L115,0)))</f>
        <v/>
      </c>
      <c r="Y115" s="16">
        <f>IF(A115="",0,IF(G115=TRUE,IFERROR(H115,0)+IFERROR(I115,0)+IFERROR(J115,0)+IFERROR(K115,0)+IFERROR(L115,0),0))</f>
        <v/>
      </c>
      <c r="Z115" s="16">
        <f>IF(A115="",0,IF(AND(O115=TRUE,G115&lt;&gt;TRUE),IFERROR(H115,0)+IFERROR(I115,0)+IFERROR(J115,0)+IFERROR(K115,0)+IFERROR(L115,0),0))</f>
        <v/>
      </c>
    </row>
    <row r="116">
      <c r="A116" s="10" t="n"/>
      <c r="B116" s="10" t="n"/>
      <c r="C116" s="11" t="n"/>
      <c r="D116" s="11" t="n"/>
      <c r="E116" s="10" t="n"/>
      <c r="F116" s="10" t="n"/>
      <c r="G116" s="12" t="n"/>
      <c r="H116" s="13" t="n"/>
      <c r="I116" s="13" t="n"/>
      <c r="J116" s="13" t="n"/>
      <c r="K116" s="13" t="n"/>
      <c r="L116" s="13" t="n"/>
      <c r="M116" s="14">
        <f>IFERROR(IF(A116="","",IFERROR(VLOOKUP(A116,Raw_PriorMonth!A:E,5,FALSE),0)),0)</f>
        <v/>
      </c>
      <c r="N116" s="14">
        <f>IF(A116="","",IFERROR(E116,0)+IFERROR(M116,0))</f>
        <v/>
      </c>
      <c r="O116" s="15">
        <f>IF(A116="","",IF(N116&gt;=28,TRUE,FALSE))</f>
        <v/>
      </c>
      <c r="P116" s="15">
        <f>IF(A116="","",OR(G116=TRUE,O116=TRUE))</f>
        <v/>
      </c>
      <c r="Q116" s="16">
        <f>IF(A116="","",IFERROR(H116,0)+IFERROR(I116,0)+IFERROR(J116,0)+IFERROR(K116,0)+IFERROR(L116,0))</f>
        <v/>
      </c>
      <c r="R116" s="16">
        <f>IF(A116="","",IF(P116=TRUE,0,Q116))</f>
        <v/>
      </c>
      <c r="S116" s="16">
        <f>IF(A116="","",IF(P116=TRUE,0,IFERROR(H116,0)))</f>
        <v/>
      </c>
      <c r="T116" s="16">
        <f>IF(A116="","",IF(P116=TRUE,0,IFERROR(I116,0)))</f>
        <v/>
      </c>
      <c r="U116" s="16">
        <f>IF(A116="","",IF(P116=TRUE,0,IFERROR(J116,0)))</f>
        <v/>
      </c>
      <c r="V116" s="16">
        <f>IF(A116="","",IF(P116=TRUE,0,IFERROR(K116,0)))</f>
        <v/>
      </c>
      <c r="W116" s="16">
        <f>IF(A116="","",IF(P116=TRUE,0,IFERROR(L116,0)))</f>
        <v/>
      </c>
      <c r="X116" s="16">
        <f>IF(A116="","",IF(P116=TRUE,0,IFERROR(H116,0)+IFERROR(I116,0)+IFERROR(L116,0)))</f>
        <v/>
      </c>
      <c r="Y116" s="16">
        <f>IF(A116="",0,IF(G116=TRUE,IFERROR(H116,0)+IFERROR(I116,0)+IFERROR(J116,0)+IFERROR(K116,0)+IFERROR(L116,0),0))</f>
        <v/>
      </c>
      <c r="Z116" s="16">
        <f>IF(A116="",0,IF(AND(O116=TRUE,G116&lt;&gt;TRUE),IFERROR(H116,0)+IFERROR(I116,0)+IFERROR(J116,0)+IFERROR(K116,0)+IFERROR(L116,0),0))</f>
        <v/>
      </c>
    </row>
    <row r="117">
      <c r="A117" s="10" t="n"/>
      <c r="B117" s="10" t="n"/>
      <c r="C117" s="11" t="n"/>
      <c r="D117" s="11" t="n"/>
      <c r="E117" s="10" t="n"/>
      <c r="F117" s="10" t="n"/>
      <c r="G117" s="12" t="n"/>
      <c r="H117" s="13" t="n"/>
      <c r="I117" s="13" t="n"/>
      <c r="J117" s="13" t="n"/>
      <c r="K117" s="13" t="n"/>
      <c r="L117" s="13" t="n"/>
      <c r="M117" s="14">
        <f>IFERROR(IF(A117="","",IFERROR(VLOOKUP(A117,Raw_PriorMonth!A:E,5,FALSE),0)),0)</f>
        <v/>
      </c>
      <c r="N117" s="14">
        <f>IF(A117="","",IFERROR(E117,0)+IFERROR(M117,0))</f>
        <v/>
      </c>
      <c r="O117" s="15">
        <f>IF(A117="","",IF(N117&gt;=28,TRUE,FALSE))</f>
        <v/>
      </c>
      <c r="P117" s="15">
        <f>IF(A117="","",OR(G117=TRUE,O117=TRUE))</f>
        <v/>
      </c>
      <c r="Q117" s="16">
        <f>IF(A117="","",IFERROR(H117,0)+IFERROR(I117,0)+IFERROR(J117,0)+IFERROR(K117,0)+IFERROR(L117,0))</f>
        <v/>
      </c>
      <c r="R117" s="16">
        <f>IF(A117="","",IF(P117=TRUE,0,Q117))</f>
        <v/>
      </c>
      <c r="S117" s="16">
        <f>IF(A117="","",IF(P117=TRUE,0,IFERROR(H117,0)))</f>
        <v/>
      </c>
      <c r="T117" s="16">
        <f>IF(A117="","",IF(P117=TRUE,0,IFERROR(I117,0)))</f>
        <v/>
      </c>
      <c r="U117" s="16">
        <f>IF(A117="","",IF(P117=TRUE,0,IFERROR(J117,0)))</f>
        <v/>
      </c>
      <c r="V117" s="16">
        <f>IF(A117="","",IF(P117=TRUE,0,IFERROR(K117,0)))</f>
        <v/>
      </c>
      <c r="W117" s="16">
        <f>IF(A117="","",IF(P117=TRUE,0,IFERROR(L117,0)))</f>
        <v/>
      </c>
      <c r="X117" s="16">
        <f>IF(A117="","",IF(P117=TRUE,0,IFERROR(H117,0)+IFERROR(I117,0)+IFERROR(L117,0)))</f>
        <v/>
      </c>
      <c r="Y117" s="16">
        <f>IF(A117="",0,IF(G117=TRUE,IFERROR(H117,0)+IFERROR(I117,0)+IFERROR(J117,0)+IFERROR(K117,0)+IFERROR(L117,0),0))</f>
        <v/>
      </c>
      <c r="Z117" s="16">
        <f>IF(A117="",0,IF(AND(O117=TRUE,G117&lt;&gt;TRUE),IFERROR(H117,0)+IFERROR(I117,0)+IFERROR(J117,0)+IFERROR(K117,0)+IFERROR(L117,0),0))</f>
        <v/>
      </c>
    </row>
    <row r="118">
      <c r="A118" s="10" t="n"/>
      <c r="B118" s="10" t="n"/>
      <c r="C118" s="11" t="n"/>
      <c r="D118" s="11" t="n"/>
      <c r="E118" s="10" t="n"/>
      <c r="F118" s="10" t="n"/>
      <c r="G118" s="12" t="n"/>
      <c r="H118" s="13" t="n"/>
      <c r="I118" s="13" t="n"/>
      <c r="J118" s="13" t="n"/>
      <c r="K118" s="13" t="n"/>
      <c r="L118" s="13" t="n"/>
      <c r="M118" s="14">
        <f>IFERROR(IF(A118="","",IFERROR(VLOOKUP(A118,Raw_PriorMonth!A:E,5,FALSE),0)),0)</f>
        <v/>
      </c>
      <c r="N118" s="14">
        <f>IF(A118="","",IFERROR(E118,0)+IFERROR(M118,0))</f>
        <v/>
      </c>
      <c r="O118" s="15">
        <f>IF(A118="","",IF(N118&gt;=28,TRUE,FALSE))</f>
        <v/>
      </c>
      <c r="P118" s="15">
        <f>IF(A118="","",OR(G118=TRUE,O118=TRUE))</f>
        <v/>
      </c>
      <c r="Q118" s="16">
        <f>IF(A118="","",IFERROR(H118,0)+IFERROR(I118,0)+IFERROR(J118,0)+IFERROR(K118,0)+IFERROR(L118,0))</f>
        <v/>
      </c>
      <c r="R118" s="16">
        <f>IF(A118="","",IF(P118=TRUE,0,Q118))</f>
        <v/>
      </c>
      <c r="S118" s="16">
        <f>IF(A118="","",IF(P118=TRUE,0,IFERROR(H118,0)))</f>
        <v/>
      </c>
      <c r="T118" s="16">
        <f>IF(A118="","",IF(P118=TRUE,0,IFERROR(I118,0)))</f>
        <v/>
      </c>
      <c r="U118" s="16">
        <f>IF(A118="","",IF(P118=TRUE,0,IFERROR(J118,0)))</f>
        <v/>
      </c>
      <c r="V118" s="16">
        <f>IF(A118="","",IF(P118=TRUE,0,IFERROR(K118,0)))</f>
        <v/>
      </c>
      <c r="W118" s="16">
        <f>IF(A118="","",IF(P118=TRUE,0,IFERROR(L118,0)))</f>
        <v/>
      </c>
      <c r="X118" s="16">
        <f>IF(A118="","",IF(P118=TRUE,0,IFERROR(H118,0)+IFERROR(I118,0)+IFERROR(L118,0)))</f>
        <v/>
      </c>
      <c r="Y118" s="16">
        <f>IF(A118="",0,IF(G118=TRUE,IFERROR(H118,0)+IFERROR(I118,0)+IFERROR(J118,0)+IFERROR(K118,0)+IFERROR(L118,0),0))</f>
        <v/>
      </c>
      <c r="Z118" s="16">
        <f>IF(A118="",0,IF(AND(O118=TRUE,G118&lt;&gt;TRUE),IFERROR(H118,0)+IFERROR(I118,0)+IFERROR(J118,0)+IFERROR(K118,0)+IFERROR(L118,0),0))</f>
        <v/>
      </c>
    </row>
    <row r="119">
      <c r="A119" s="10" t="n"/>
      <c r="B119" s="10" t="n"/>
      <c r="C119" s="11" t="n"/>
      <c r="D119" s="11" t="n"/>
      <c r="E119" s="10" t="n"/>
      <c r="F119" s="10" t="n"/>
      <c r="G119" s="12" t="n"/>
      <c r="H119" s="13" t="n"/>
      <c r="I119" s="13" t="n"/>
      <c r="J119" s="13" t="n"/>
      <c r="K119" s="13" t="n"/>
      <c r="L119" s="13" t="n"/>
      <c r="M119" s="14">
        <f>IFERROR(IF(A119="","",IFERROR(VLOOKUP(A119,Raw_PriorMonth!A:E,5,FALSE),0)),0)</f>
        <v/>
      </c>
      <c r="N119" s="14">
        <f>IF(A119="","",IFERROR(E119,0)+IFERROR(M119,0))</f>
        <v/>
      </c>
      <c r="O119" s="15">
        <f>IF(A119="","",IF(N119&gt;=28,TRUE,FALSE))</f>
        <v/>
      </c>
      <c r="P119" s="15">
        <f>IF(A119="","",OR(G119=TRUE,O119=TRUE))</f>
        <v/>
      </c>
      <c r="Q119" s="16">
        <f>IF(A119="","",IFERROR(H119,0)+IFERROR(I119,0)+IFERROR(J119,0)+IFERROR(K119,0)+IFERROR(L119,0))</f>
        <v/>
      </c>
      <c r="R119" s="16">
        <f>IF(A119="","",IF(P119=TRUE,0,Q119))</f>
        <v/>
      </c>
      <c r="S119" s="16">
        <f>IF(A119="","",IF(P119=TRUE,0,IFERROR(H119,0)))</f>
        <v/>
      </c>
      <c r="T119" s="16">
        <f>IF(A119="","",IF(P119=TRUE,0,IFERROR(I119,0)))</f>
        <v/>
      </c>
      <c r="U119" s="16">
        <f>IF(A119="","",IF(P119=TRUE,0,IFERROR(J119,0)))</f>
        <v/>
      </c>
      <c r="V119" s="16">
        <f>IF(A119="","",IF(P119=TRUE,0,IFERROR(K119,0)))</f>
        <v/>
      </c>
      <c r="W119" s="16">
        <f>IF(A119="","",IF(P119=TRUE,0,IFERROR(L119,0)))</f>
        <v/>
      </c>
      <c r="X119" s="16">
        <f>IF(A119="","",IF(P119=TRUE,0,IFERROR(H119,0)+IFERROR(I119,0)+IFERROR(L119,0)))</f>
        <v/>
      </c>
      <c r="Y119" s="16">
        <f>IF(A119="",0,IF(G119=TRUE,IFERROR(H119,0)+IFERROR(I119,0)+IFERROR(J119,0)+IFERROR(K119,0)+IFERROR(L119,0),0))</f>
        <v/>
      </c>
      <c r="Z119" s="16">
        <f>IF(A119="",0,IF(AND(O119=TRUE,G119&lt;&gt;TRUE),IFERROR(H119,0)+IFERROR(I119,0)+IFERROR(J119,0)+IFERROR(K119,0)+IFERROR(L119,0),0))</f>
        <v/>
      </c>
    </row>
    <row r="120">
      <c r="A120" s="10" t="n"/>
      <c r="B120" s="10" t="n"/>
      <c r="C120" s="11" t="n"/>
      <c r="D120" s="11" t="n"/>
      <c r="E120" s="10" t="n"/>
      <c r="F120" s="10" t="n"/>
      <c r="G120" s="12" t="n"/>
      <c r="H120" s="13" t="n"/>
      <c r="I120" s="13" t="n"/>
      <c r="J120" s="13" t="n"/>
      <c r="K120" s="13" t="n"/>
      <c r="L120" s="13" t="n"/>
      <c r="M120" s="14">
        <f>IFERROR(IF(A120="","",IFERROR(VLOOKUP(A120,Raw_PriorMonth!A:E,5,FALSE),0)),0)</f>
        <v/>
      </c>
      <c r="N120" s="14">
        <f>IF(A120="","",IFERROR(E120,0)+IFERROR(M120,0))</f>
        <v/>
      </c>
      <c r="O120" s="15">
        <f>IF(A120="","",IF(N120&gt;=28,TRUE,FALSE))</f>
        <v/>
      </c>
      <c r="P120" s="15">
        <f>IF(A120="","",OR(G120=TRUE,O120=TRUE))</f>
        <v/>
      </c>
      <c r="Q120" s="16">
        <f>IF(A120="","",IFERROR(H120,0)+IFERROR(I120,0)+IFERROR(J120,0)+IFERROR(K120,0)+IFERROR(L120,0))</f>
        <v/>
      </c>
      <c r="R120" s="16">
        <f>IF(A120="","",IF(P120=TRUE,0,Q120))</f>
        <v/>
      </c>
      <c r="S120" s="16">
        <f>IF(A120="","",IF(P120=TRUE,0,IFERROR(H120,0)))</f>
        <v/>
      </c>
      <c r="T120" s="16">
        <f>IF(A120="","",IF(P120=TRUE,0,IFERROR(I120,0)))</f>
        <v/>
      </c>
      <c r="U120" s="16">
        <f>IF(A120="","",IF(P120=TRUE,0,IFERROR(J120,0)))</f>
        <v/>
      </c>
      <c r="V120" s="16">
        <f>IF(A120="","",IF(P120=TRUE,0,IFERROR(K120,0)))</f>
        <v/>
      </c>
      <c r="W120" s="16">
        <f>IF(A120="","",IF(P120=TRUE,0,IFERROR(L120,0)))</f>
        <v/>
      </c>
      <c r="X120" s="16">
        <f>IF(A120="","",IF(P120=TRUE,0,IFERROR(H120,0)+IFERROR(I120,0)+IFERROR(L120,0)))</f>
        <v/>
      </c>
      <c r="Y120" s="16">
        <f>IF(A120="",0,IF(G120=TRUE,IFERROR(H120,0)+IFERROR(I120,0)+IFERROR(J120,0)+IFERROR(K120,0)+IFERROR(L120,0),0))</f>
        <v/>
      </c>
      <c r="Z120" s="16">
        <f>IF(A120="",0,IF(AND(O120=TRUE,G120&lt;&gt;TRUE),IFERROR(H120,0)+IFERROR(I120,0)+IFERROR(J120,0)+IFERROR(K120,0)+IFERROR(L120,0),0))</f>
        <v/>
      </c>
    </row>
    <row r="121">
      <c r="A121" s="10" t="n"/>
      <c r="B121" s="10" t="n"/>
      <c r="C121" s="11" t="n"/>
      <c r="D121" s="11" t="n"/>
      <c r="E121" s="10" t="n"/>
      <c r="F121" s="10" t="n"/>
      <c r="G121" s="12" t="n"/>
      <c r="H121" s="13" t="n"/>
      <c r="I121" s="13" t="n"/>
      <c r="J121" s="13" t="n"/>
      <c r="K121" s="13" t="n"/>
      <c r="L121" s="13" t="n"/>
      <c r="M121" s="14">
        <f>IFERROR(IF(A121="","",IFERROR(VLOOKUP(A121,Raw_PriorMonth!A:E,5,FALSE),0)),0)</f>
        <v/>
      </c>
      <c r="N121" s="14">
        <f>IF(A121="","",IFERROR(E121,0)+IFERROR(M121,0))</f>
        <v/>
      </c>
      <c r="O121" s="15">
        <f>IF(A121="","",IF(N121&gt;=28,TRUE,FALSE))</f>
        <v/>
      </c>
      <c r="P121" s="15">
        <f>IF(A121="","",OR(G121=TRUE,O121=TRUE))</f>
        <v/>
      </c>
      <c r="Q121" s="16">
        <f>IF(A121="","",IFERROR(H121,0)+IFERROR(I121,0)+IFERROR(J121,0)+IFERROR(K121,0)+IFERROR(L121,0))</f>
        <v/>
      </c>
      <c r="R121" s="16">
        <f>IF(A121="","",IF(P121=TRUE,0,Q121))</f>
        <v/>
      </c>
      <c r="S121" s="16">
        <f>IF(A121="","",IF(P121=TRUE,0,IFERROR(H121,0)))</f>
        <v/>
      </c>
      <c r="T121" s="16">
        <f>IF(A121="","",IF(P121=TRUE,0,IFERROR(I121,0)))</f>
        <v/>
      </c>
      <c r="U121" s="16">
        <f>IF(A121="","",IF(P121=TRUE,0,IFERROR(J121,0)))</f>
        <v/>
      </c>
      <c r="V121" s="16">
        <f>IF(A121="","",IF(P121=TRUE,0,IFERROR(K121,0)))</f>
        <v/>
      </c>
      <c r="W121" s="16">
        <f>IF(A121="","",IF(P121=TRUE,0,IFERROR(L121,0)))</f>
        <v/>
      </c>
      <c r="X121" s="16">
        <f>IF(A121="","",IF(P121=TRUE,0,IFERROR(H121,0)+IFERROR(I121,0)+IFERROR(L121,0)))</f>
        <v/>
      </c>
      <c r="Y121" s="16">
        <f>IF(A121="",0,IF(G121=TRUE,IFERROR(H121,0)+IFERROR(I121,0)+IFERROR(J121,0)+IFERROR(K121,0)+IFERROR(L121,0),0))</f>
        <v/>
      </c>
      <c r="Z121" s="16">
        <f>IF(A121="",0,IF(AND(O121=TRUE,G121&lt;&gt;TRUE),IFERROR(H121,0)+IFERROR(I121,0)+IFERROR(J121,0)+IFERROR(K121,0)+IFERROR(L121,0),0))</f>
        <v/>
      </c>
    </row>
    <row r="122">
      <c r="A122" s="10" t="n"/>
      <c r="B122" s="10" t="n"/>
      <c r="C122" s="11" t="n"/>
      <c r="D122" s="11" t="n"/>
      <c r="E122" s="10" t="n"/>
      <c r="F122" s="10" t="n"/>
      <c r="G122" s="12" t="n"/>
      <c r="H122" s="13" t="n"/>
      <c r="I122" s="13" t="n"/>
      <c r="J122" s="13" t="n"/>
      <c r="K122" s="13" t="n"/>
      <c r="L122" s="13" t="n"/>
      <c r="M122" s="14">
        <f>IFERROR(IF(A122="","",IFERROR(VLOOKUP(A122,Raw_PriorMonth!A:E,5,FALSE),0)),0)</f>
        <v/>
      </c>
      <c r="N122" s="14">
        <f>IF(A122="","",IFERROR(E122,0)+IFERROR(M122,0))</f>
        <v/>
      </c>
      <c r="O122" s="15">
        <f>IF(A122="","",IF(N122&gt;=28,TRUE,FALSE))</f>
        <v/>
      </c>
      <c r="P122" s="15">
        <f>IF(A122="","",OR(G122=TRUE,O122=TRUE))</f>
        <v/>
      </c>
      <c r="Q122" s="16">
        <f>IF(A122="","",IFERROR(H122,0)+IFERROR(I122,0)+IFERROR(J122,0)+IFERROR(K122,0)+IFERROR(L122,0))</f>
        <v/>
      </c>
      <c r="R122" s="16">
        <f>IF(A122="","",IF(P122=TRUE,0,Q122))</f>
        <v/>
      </c>
      <c r="S122" s="16">
        <f>IF(A122="","",IF(P122=TRUE,0,IFERROR(H122,0)))</f>
        <v/>
      </c>
      <c r="T122" s="16">
        <f>IF(A122="","",IF(P122=TRUE,0,IFERROR(I122,0)))</f>
        <v/>
      </c>
      <c r="U122" s="16">
        <f>IF(A122="","",IF(P122=TRUE,0,IFERROR(J122,0)))</f>
        <v/>
      </c>
      <c r="V122" s="16">
        <f>IF(A122="","",IF(P122=TRUE,0,IFERROR(K122,0)))</f>
        <v/>
      </c>
      <c r="W122" s="16">
        <f>IF(A122="","",IF(P122=TRUE,0,IFERROR(L122,0)))</f>
        <v/>
      </c>
      <c r="X122" s="16">
        <f>IF(A122="","",IF(P122=TRUE,0,IFERROR(H122,0)+IFERROR(I122,0)+IFERROR(L122,0)))</f>
        <v/>
      </c>
      <c r="Y122" s="16">
        <f>IF(A122="",0,IF(G122=TRUE,IFERROR(H122,0)+IFERROR(I122,0)+IFERROR(J122,0)+IFERROR(K122,0)+IFERROR(L122,0),0))</f>
        <v/>
      </c>
      <c r="Z122" s="16">
        <f>IF(A122="",0,IF(AND(O122=TRUE,G122&lt;&gt;TRUE),IFERROR(H122,0)+IFERROR(I122,0)+IFERROR(J122,0)+IFERROR(K122,0)+IFERROR(L122,0),0))</f>
        <v/>
      </c>
    </row>
    <row r="123">
      <c r="A123" s="10" t="n"/>
      <c r="B123" s="10" t="n"/>
      <c r="C123" s="11" t="n"/>
      <c r="D123" s="11" t="n"/>
      <c r="E123" s="10" t="n"/>
      <c r="F123" s="10" t="n"/>
      <c r="G123" s="12" t="n"/>
      <c r="H123" s="13" t="n"/>
      <c r="I123" s="13" t="n"/>
      <c r="J123" s="13" t="n"/>
      <c r="K123" s="13" t="n"/>
      <c r="L123" s="13" t="n"/>
      <c r="M123" s="14">
        <f>IFERROR(IF(A123="","",IFERROR(VLOOKUP(A123,Raw_PriorMonth!A:E,5,FALSE),0)),0)</f>
        <v/>
      </c>
      <c r="N123" s="14">
        <f>IF(A123="","",IFERROR(E123,0)+IFERROR(M123,0))</f>
        <v/>
      </c>
      <c r="O123" s="15">
        <f>IF(A123="","",IF(N123&gt;=28,TRUE,FALSE))</f>
        <v/>
      </c>
      <c r="P123" s="15">
        <f>IF(A123="","",OR(G123=TRUE,O123=TRUE))</f>
        <v/>
      </c>
      <c r="Q123" s="16">
        <f>IF(A123="","",IFERROR(H123,0)+IFERROR(I123,0)+IFERROR(J123,0)+IFERROR(K123,0)+IFERROR(L123,0))</f>
        <v/>
      </c>
      <c r="R123" s="16">
        <f>IF(A123="","",IF(P123=TRUE,0,Q123))</f>
        <v/>
      </c>
      <c r="S123" s="16">
        <f>IF(A123="","",IF(P123=TRUE,0,IFERROR(H123,0)))</f>
        <v/>
      </c>
      <c r="T123" s="16">
        <f>IF(A123="","",IF(P123=TRUE,0,IFERROR(I123,0)))</f>
        <v/>
      </c>
      <c r="U123" s="16">
        <f>IF(A123="","",IF(P123=TRUE,0,IFERROR(J123,0)))</f>
        <v/>
      </c>
      <c r="V123" s="16">
        <f>IF(A123="","",IF(P123=TRUE,0,IFERROR(K123,0)))</f>
        <v/>
      </c>
      <c r="W123" s="16">
        <f>IF(A123="","",IF(P123=TRUE,0,IFERROR(L123,0)))</f>
        <v/>
      </c>
      <c r="X123" s="16">
        <f>IF(A123="","",IF(P123=TRUE,0,IFERROR(H123,0)+IFERROR(I123,0)+IFERROR(L123,0)))</f>
        <v/>
      </c>
      <c r="Y123" s="16">
        <f>IF(A123="",0,IF(G123=TRUE,IFERROR(H123,0)+IFERROR(I123,0)+IFERROR(J123,0)+IFERROR(K123,0)+IFERROR(L123,0),0))</f>
        <v/>
      </c>
      <c r="Z123" s="16">
        <f>IF(A123="",0,IF(AND(O123=TRUE,G123&lt;&gt;TRUE),IFERROR(H123,0)+IFERROR(I123,0)+IFERROR(J123,0)+IFERROR(K123,0)+IFERROR(L123,0),0))</f>
        <v/>
      </c>
    </row>
    <row r="124">
      <c r="A124" s="10" t="n"/>
      <c r="B124" s="10" t="n"/>
      <c r="C124" s="11" t="n"/>
      <c r="D124" s="11" t="n"/>
      <c r="E124" s="10" t="n"/>
      <c r="F124" s="10" t="n"/>
      <c r="G124" s="12" t="n"/>
      <c r="H124" s="13" t="n"/>
      <c r="I124" s="13" t="n"/>
      <c r="J124" s="13" t="n"/>
      <c r="K124" s="13" t="n"/>
      <c r="L124" s="13" t="n"/>
      <c r="M124" s="14">
        <f>IFERROR(IF(A124="","",IFERROR(VLOOKUP(A124,Raw_PriorMonth!A:E,5,FALSE),0)),0)</f>
        <v/>
      </c>
      <c r="N124" s="14">
        <f>IF(A124="","",IFERROR(E124,0)+IFERROR(M124,0))</f>
        <v/>
      </c>
      <c r="O124" s="15">
        <f>IF(A124="","",IF(N124&gt;=28,TRUE,FALSE))</f>
        <v/>
      </c>
      <c r="P124" s="15">
        <f>IF(A124="","",OR(G124=TRUE,O124=TRUE))</f>
        <v/>
      </c>
      <c r="Q124" s="16">
        <f>IF(A124="","",IFERROR(H124,0)+IFERROR(I124,0)+IFERROR(J124,0)+IFERROR(K124,0)+IFERROR(L124,0))</f>
        <v/>
      </c>
      <c r="R124" s="16">
        <f>IF(A124="","",IF(P124=TRUE,0,Q124))</f>
        <v/>
      </c>
      <c r="S124" s="16">
        <f>IF(A124="","",IF(P124=TRUE,0,IFERROR(H124,0)))</f>
        <v/>
      </c>
      <c r="T124" s="16">
        <f>IF(A124="","",IF(P124=TRUE,0,IFERROR(I124,0)))</f>
        <v/>
      </c>
      <c r="U124" s="16">
        <f>IF(A124="","",IF(P124=TRUE,0,IFERROR(J124,0)))</f>
        <v/>
      </c>
      <c r="V124" s="16">
        <f>IF(A124="","",IF(P124=TRUE,0,IFERROR(K124,0)))</f>
        <v/>
      </c>
      <c r="W124" s="16">
        <f>IF(A124="","",IF(P124=TRUE,0,IFERROR(L124,0)))</f>
        <v/>
      </c>
      <c r="X124" s="16">
        <f>IF(A124="","",IF(P124=TRUE,0,IFERROR(H124,0)+IFERROR(I124,0)+IFERROR(L124,0)))</f>
        <v/>
      </c>
      <c r="Y124" s="16">
        <f>IF(A124="",0,IF(G124=TRUE,IFERROR(H124,0)+IFERROR(I124,0)+IFERROR(J124,0)+IFERROR(K124,0)+IFERROR(L124,0),0))</f>
        <v/>
      </c>
      <c r="Z124" s="16">
        <f>IF(A124="",0,IF(AND(O124=TRUE,G124&lt;&gt;TRUE),IFERROR(H124,0)+IFERROR(I124,0)+IFERROR(J124,0)+IFERROR(K124,0)+IFERROR(L124,0),0))</f>
        <v/>
      </c>
    </row>
    <row r="125">
      <c r="A125" s="10" t="n"/>
      <c r="B125" s="10" t="n"/>
      <c r="C125" s="11" t="n"/>
      <c r="D125" s="11" t="n"/>
      <c r="E125" s="10" t="n"/>
      <c r="F125" s="10" t="n"/>
      <c r="G125" s="12" t="n"/>
      <c r="H125" s="13" t="n"/>
      <c r="I125" s="13" t="n"/>
      <c r="J125" s="13" t="n"/>
      <c r="K125" s="13" t="n"/>
      <c r="L125" s="13" t="n"/>
      <c r="M125" s="14">
        <f>IFERROR(IF(A125="","",IFERROR(VLOOKUP(A125,Raw_PriorMonth!A:E,5,FALSE),0)),0)</f>
        <v/>
      </c>
      <c r="N125" s="14">
        <f>IF(A125="","",IFERROR(E125,0)+IFERROR(M125,0))</f>
        <v/>
      </c>
      <c r="O125" s="15">
        <f>IF(A125="","",IF(N125&gt;=28,TRUE,FALSE))</f>
        <v/>
      </c>
      <c r="P125" s="15">
        <f>IF(A125="","",OR(G125=TRUE,O125=TRUE))</f>
        <v/>
      </c>
      <c r="Q125" s="16">
        <f>IF(A125="","",IFERROR(H125,0)+IFERROR(I125,0)+IFERROR(J125,0)+IFERROR(K125,0)+IFERROR(L125,0))</f>
        <v/>
      </c>
      <c r="R125" s="16">
        <f>IF(A125="","",IF(P125=TRUE,0,Q125))</f>
        <v/>
      </c>
      <c r="S125" s="16">
        <f>IF(A125="","",IF(P125=TRUE,0,IFERROR(H125,0)))</f>
        <v/>
      </c>
      <c r="T125" s="16">
        <f>IF(A125="","",IF(P125=TRUE,0,IFERROR(I125,0)))</f>
        <v/>
      </c>
      <c r="U125" s="16">
        <f>IF(A125="","",IF(P125=TRUE,0,IFERROR(J125,0)))</f>
        <v/>
      </c>
      <c r="V125" s="16">
        <f>IF(A125="","",IF(P125=TRUE,0,IFERROR(K125,0)))</f>
        <v/>
      </c>
      <c r="W125" s="16">
        <f>IF(A125="","",IF(P125=TRUE,0,IFERROR(L125,0)))</f>
        <v/>
      </c>
      <c r="X125" s="16">
        <f>IF(A125="","",IF(P125=TRUE,0,IFERROR(H125,0)+IFERROR(I125,0)+IFERROR(L125,0)))</f>
        <v/>
      </c>
      <c r="Y125" s="16">
        <f>IF(A125="",0,IF(G125=TRUE,IFERROR(H125,0)+IFERROR(I125,0)+IFERROR(J125,0)+IFERROR(K125,0)+IFERROR(L125,0),0))</f>
        <v/>
      </c>
      <c r="Z125" s="16">
        <f>IF(A125="",0,IF(AND(O125=TRUE,G125&lt;&gt;TRUE),IFERROR(H125,0)+IFERROR(I125,0)+IFERROR(J125,0)+IFERROR(K125,0)+IFERROR(L125,0),0))</f>
        <v/>
      </c>
    </row>
    <row r="126">
      <c r="A126" s="10" t="n"/>
      <c r="B126" s="10" t="n"/>
      <c r="C126" s="11" t="n"/>
      <c r="D126" s="11" t="n"/>
      <c r="E126" s="10" t="n"/>
      <c r="F126" s="10" t="n"/>
      <c r="G126" s="12" t="n"/>
      <c r="H126" s="13" t="n"/>
      <c r="I126" s="13" t="n"/>
      <c r="J126" s="13" t="n"/>
      <c r="K126" s="13" t="n"/>
      <c r="L126" s="13" t="n"/>
      <c r="M126" s="14">
        <f>IFERROR(IF(A126="","",IFERROR(VLOOKUP(A126,Raw_PriorMonth!A:E,5,FALSE),0)),0)</f>
        <v/>
      </c>
      <c r="N126" s="14">
        <f>IF(A126="","",IFERROR(E126,0)+IFERROR(M126,0))</f>
        <v/>
      </c>
      <c r="O126" s="15">
        <f>IF(A126="","",IF(N126&gt;=28,TRUE,FALSE))</f>
        <v/>
      </c>
      <c r="P126" s="15">
        <f>IF(A126="","",OR(G126=TRUE,O126=TRUE))</f>
        <v/>
      </c>
      <c r="Q126" s="16">
        <f>IF(A126="","",IFERROR(H126,0)+IFERROR(I126,0)+IFERROR(J126,0)+IFERROR(K126,0)+IFERROR(L126,0))</f>
        <v/>
      </c>
      <c r="R126" s="16">
        <f>IF(A126="","",IF(P126=TRUE,0,Q126))</f>
        <v/>
      </c>
      <c r="S126" s="16">
        <f>IF(A126="","",IF(P126=TRUE,0,IFERROR(H126,0)))</f>
        <v/>
      </c>
      <c r="T126" s="16">
        <f>IF(A126="","",IF(P126=TRUE,0,IFERROR(I126,0)))</f>
        <v/>
      </c>
      <c r="U126" s="16">
        <f>IF(A126="","",IF(P126=TRUE,0,IFERROR(J126,0)))</f>
        <v/>
      </c>
      <c r="V126" s="16">
        <f>IF(A126="","",IF(P126=TRUE,0,IFERROR(K126,0)))</f>
        <v/>
      </c>
      <c r="W126" s="16">
        <f>IF(A126="","",IF(P126=TRUE,0,IFERROR(L126,0)))</f>
        <v/>
      </c>
      <c r="X126" s="16">
        <f>IF(A126="","",IF(P126=TRUE,0,IFERROR(H126,0)+IFERROR(I126,0)+IFERROR(L126,0)))</f>
        <v/>
      </c>
      <c r="Y126" s="16">
        <f>IF(A126="",0,IF(G126=TRUE,IFERROR(H126,0)+IFERROR(I126,0)+IFERROR(J126,0)+IFERROR(K126,0)+IFERROR(L126,0),0))</f>
        <v/>
      </c>
      <c r="Z126" s="16">
        <f>IF(A126="",0,IF(AND(O126=TRUE,G126&lt;&gt;TRUE),IFERROR(H126,0)+IFERROR(I126,0)+IFERROR(J126,0)+IFERROR(K126,0)+IFERROR(L126,0),0))</f>
        <v/>
      </c>
    </row>
    <row r="127">
      <c r="A127" s="10" t="n"/>
      <c r="B127" s="10" t="n"/>
      <c r="C127" s="11" t="n"/>
      <c r="D127" s="11" t="n"/>
      <c r="E127" s="10" t="n"/>
      <c r="F127" s="10" t="n"/>
      <c r="G127" s="12" t="n"/>
      <c r="H127" s="13" t="n"/>
      <c r="I127" s="13" t="n"/>
      <c r="J127" s="13" t="n"/>
      <c r="K127" s="13" t="n"/>
      <c r="L127" s="13" t="n"/>
      <c r="M127" s="14">
        <f>IFERROR(IF(A127="","",IFERROR(VLOOKUP(A127,Raw_PriorMonth!A:E,5,FALSE),0)),0)</f>
        <v/>
      </c>
      <c r="N127" s="14">
        <f>IF(A127="","",IFERROR(E127,0)+IFERROR(M127,0))</f>
        <v/>
      </c>
      <c r="O127" s="15">
        <f>IF(A127="","",IF(N127&gt;=28,TRUE,FALSE))</f>
        <v/>
      </c>
      <c r="P127" s="15">
        <f>IF(A127="","",OR(G127=TRUE,O127=TRUE))</f>
        <v/>
      </c>
      <c r="Q127" s="16">
        <f>IF(A127="","",IFERROR(H127,0)+IFERROR(I127,0)+IFERROR(J127,0)+IFERROR(K127,0)+IFERROR(L127,0))</f>
        <v/>
      </c>
      <c r="R127" s="16">
        <f>IF(A127="","",IF(P127=TRUE,0,Q127))</f>
        <v/>
      </c>
      <c r="S127" s="16">
        <f>IF(A127="","",IF(P127=TRUE,0,IFERROR(H127,0)))</f>
        <v/>
      </c>
      <c r="T127" s="16">
        <f>IF(A127="","",IF(P127=TRUE,0,IFERROR(I127,0)))</f>
        <v/>
      </c>
      <c r="U127" s="16">
        <f>IF(A127="","",IF(P127=TRUE,0,IFERROR(J127,0)))</f>
        <v/>
      </c>
      <c r="V127" s="16">
        <f>IF(A127="","",IF(P127=TRUE,0,IFERROR(K127,0)))</f>
        <v/>
      </c>
      <c r="W127" s="16">
        <f>IF(A127="","",IF(P127=TRUE,0,IFERROR(L127,0)))</f>
        <v/>
      </c>
      <c r="X127" s="16">
        <f>IF(A127="","",IF(P127=TRUE,0,IFERROR(H127,0)+IFERROR(I127,0)+IFERROR(L127,0)))</f>
        <v/>
      </c>
      <c r="Y127" s="16">
        <f>IF(A127="",0,IF(G127=TRUE,IFERROR(H127,0)+IFERROR(I127,0)+IFERROR(J127,0)+IFERROR(K127,0)+IFERROR(L127,0),0))</f>
        <v/>
      </c>
      <c r="Z127" s="16">
        <f>IF(A127="",0,IF(AND(O127=TRUE,G127&lt;&gt;TRUE),IFERROR(H127,0)+IFERROR(I127,0)+IFERROR(J127,0)+IFERROR(K127,0)+IFERROR(L127,0),0))</f>
        <v/>
      </c>
    </row>
    <row r="128">
      <c r="A128" s="10" t="n"/>
      <c r="B128" s="10" t="n"/>
      <c r="C128" s="11" t="n"/>
      <c r="D128" s="11" t="n"/>
      <c r="E128" s="10" t="n"/>
      <c r="F128" s="10" t="n"/>
      <c r="G128" s="12" t="n"/>
      <c r="H128" s="13" t="n"/>
      <c r="I128" s="13" t="n"/>
      <c r="J128" s="13" t="n"/>
      <c r="K128" s="13" t="n"/>
      <c r="L128" s="13" t="n"/>
      <c r="M128" s="14">
        <f>IFERROR(IF(A128="","",IFERROR(VLOOKUP(A128,Raw_PriorMonth!A:E,5,FALSE),0)),0)</f>
        <v/>
      </c>
      <c r="N128" s="14">
        <f>IF(A128="","",IFERROR(E128,0)+IFERROR(M128,0))</f>
        <v/>
      </c>
      <c r="O128" s="15">
        <f>IF(A128="","",IF(N128&gt;=28,TRUE,FALSE))</f>
        <v/>
      </c>
      <c r="P128" s="15">
        <f>IF(A128="","",OR(G128=TRUE,O128=TRUE))</f>
        <v/>
      </c>
      <c r="Q128" s="16">
        <f>IF(A128="","",IFERROR(H128,0)+IFERROR(I128,0)+IFERROR(J128,0)+IFERROR(K128,0)+IFERROR(L128,0))</f>
        <v/>
      </c>
      <c r="R128" s="16">
        <f>IF(A128="","",IF(P128=TRUE,0,Q128))</f>
        <v/>
      </c>
      <c r="S128" s="16">
        <f>IF(A128="","",IF(P128=TRUE,0,IFERROR(H128,0)))</f>
        <v/>
      </c>
      <c r="T128" s="16">
        <f>IF(A128="","",IF(P128=TRUE,0,IFERROR(I128,0)))</f>
        <v/>
      </c>
      <c r="U128" s="16">
        <f>IF(A128="","",IF(P128=TRUE,0,IFERROR(J128,0)))</f>
        <v/>
      </c>
      <c r="V128" s="16">
        <f>IF(A128="","",IF(P128=TRUE,0,IFERROR(K128,0)))</f>
        <v/>
      </c>
      <c r="W128" s="16">
        <f>IF(A128="","",IF(P128=TRUE,0,IFERROR(L128,0)))</f>
        <v/>
      </c>
      <c r="X128" s="16">
        <f>IF(A128="","",IF(P128=TRUE,0,IFERROR(H128,0)+IFERROR(I128,0)+IFERROR(L128,0)))</f>
        <v/>
      </c>
      <c r="Y128" s="16">
        <f>IF(A128="",0,IF(G128=TRUE,IFERROR(H128,0)+IFERROR(I128,0)+IFERROR(J128,0)+IFERROR(K128,0)+IFERROR(L128,0),0))</f>
        <v/>
      </c>
      <c r="Z128" s="16">
        <f>IF(A128="",0,IF(AND(O128=TRUE,G128&lt;&gt;TRUE),IFERROR(H128,0)+IFERROR(I128,0)+IFERROR(J128,0)+IFERROR(K128,0)+IFERROR(L128,0),0))</f>
        <v/>
      </c>
    </row>
    <row r="129">
      <c r="A129" s="10" t="n"/>
      <c r="B129" s="10" t="n"/>
      <c r="C129" s="11" t="n"/>
      <c r="D129" s="11" t="n"/>
      <c r="E129" s="10" t="n"/>
      <c r="F129" s="10" t="n"/>
      <c r="G129" s="12" t="n"/>
      <c r="H129" s="13" t="n"/>
      <c r="I129" s="13" t="n"/>
      <c r="J129" s="13" t="n"/>
      <c r="K129" s="13" t="n"/>
      <c r="L129" s="13" t="n"/>
      <c r="M129" s="14">
        <f>IFERROR(IF(A129="","",IFERROR(VLOOKUP(A129,Raw_PriorMonth!A:E,5,FALSE),0)),0)</f>
        <v/>
      </c>
      <c r="N129" s="14">
        <f>IF(A129="","",IFERROR(E129,0)+IFERROR(M129,0))</f>
        <v/>
      </c>
      <c r="O129" s="15">
        <f>IF(A129="","",IF(N129&gt;=28,TRUE,FALSE))</f>
        <v/>
      </c>
      <c r="P129" s="15">
        <f>IF(A129="","",OR(G129=TRUE,O129=TRUE))</f>
        <v/>
      </c>
      <c r="Q129" s="16">
        <f>IF(A129="","",IFERROR(H129,0)+IFERROR(I129,0)+IFERROR(J129,0)+IFERROR(K129,0)+IFERROR(L129,0))</f>
        <v/>
      </c>
      <c r="R129" s="16">
        <f>IF(A129="","",IF(P129=TRUE,0,Q129))</f>
        <v/>
      </c>
      <c r="S129" s="16">
        <f>IF(A129="","",IF(P129=TRUE,0,IFERROR(H129,0)))</f>
        <v/>
      </c>
      <c r="T129" s="16">
        <f>IF(A129="","",IF(P129=TRUE,0,IFERROR(I129,0)))</f>
        <v/>
      </c>
      <c r="U129" s="16">
        <f>IF(A129="","",IF(P129=TRUE,0,IFERROR(J129,0)))</f>
        <v/>
      </c>
      <c r="V129" s="16">
        <f>IF(A129="","",IF(P129=TRUE,0,IFERROR(K129,0)))</f>
        <v/>
      </c>
      <c r="W129" s="16">
        <f>IF(A129="","",IF(P129=TRUE,0,IFERROR(L129,0)))</f>
        <v/>
      </c>
      <c r="X129" s="16">
        <f>IF(A129="","",IF(P129=TRUE,0,IFERROR(H129,0)+IFERROR(I129,0)+IFERROR(L129,0)))</f>
        <v/>
      </c>
      <c r="Y129" s="16">
        <f>IF(A129="",0,IF(G129=TRUE,IFERROR(H129,0)+IFERROR(I129,0)+IFERROR(J129,0)+IFERROR(K129,0)+IFERROR(L129,0),0))</f>
        <v/>
      </c>
      <c r="Z129" s="16">
        <f>IF(A129="",0,IF(AND(O129=TRUE,G129&lt;&gt;TRUE),IFERROR(H129,0)+IFERROR(I129,0)+IFERROR(J129,0)+IFERROR(K129,0)+IFERROR(L129,0),0))</f>
        <v/>
      </c>
    </row>
    <row r="130">
      <c r="A130" s="10" t="n"/>
      <c r="B130" s="10" t="n"/>
      <c r="C130" s="11" t="n"/>
      <c r="D130" s="11" t="n"/>
      <c r="E130" s="10" t="n"/>
      <c r="F130" s="10" t="n"/>
      <c r="G130" s="12" t="n"/>
      <c r="H130" s="13" t="n"/>
      <c r="I130" s="13" t="n"/>
      <c r="J130" s="13" t="n"/>
      <c r="K130" s="13" t="n"/>
      <c r="L130" s="13" t="n"/>
      <c r="M130" s="14">
        <f>IFERROR(IF(A130="","",IFERROR(VLOOKUP(A130,Raw_PriorMonth!A:E,5,FALSE),0)),0)</f>
        <v/>
      </c>
      <c r="N130" s="14">
        <f>IF(A130="","",IFERROR(E130,0)+IFERROR(M130,0))</f>
        <v/>
      </c>
      <c r="O130" s="15">
        <f>IF(A130="","",IF(N130&gt;=28,TRUE,FALSE))</f>
        <v/>
      </c>
      <c r="P130" s="15">
        <f>IF(A130="","",OR(G130=TRUE,O130=TRUE))</f>
        <v/>
      </c>
      <c r="Q130" s="16">
        <f>IF(A130="","",IFERROR(H130,0)+IFERROR(I130,0)+IFERROR(J130,0)+IFERROR(K130,0)+IFERROR(L130,0))</f>
        <v/>
      </c>
      <c r="R130" s="16">
        <f>IF(A130="","",IF(P130=TRUE,0,Q130))</f>
        <v/>
      </c>
      <c r="S130" s="16">
        <f>IF(A130="","",IF(P130=TRUE,0,IFERROR(H130,0)))</f>
        <v/>
      </c>
      <c r="T130" s="16">
        <f>IF(A130="","",IF(P130=TRUE,0,IFERROR(I130,0)))</f>
        <v/>
      </c>
      <c r="U130" s="16">
        <f>IF(A130="","",IF(P130=TRUE,0,IFERROR(J130,0)))</f>
        <v/>
      </c>
      <c r="V130" s="16">
        <f>IF(A130="","",IF(P130=TRUE,0,IFERROR(K130,0)))</f>
        <v/>
      </c>
      <c r="W130" s="16">
        <f>IF(A130="","",IF(P130=TRUE,0,IFERROR(L130,0)))</f>
        <v/>
      </c>
      <c r="X130" s="16">
        <f>IF(A130="","",IF(P130=TRUE,0,IFERROR(H130,0)+IFERROR(I130,0)+IFERROR(L130,0)))</f>
        <v/>
      </c>
      <c r="Y130" s="16">
        <f>IF(A130="",0,IF(G130=TRUE,IFERROR(H130,0)+IFERROR(I130,0)+IFERROR(J130,0)+IFERROR(K130,0)+IFERROR(L130,0),0))</f>
        <v/>
      </c>
      <c r="Z130" s="16">
        <f>IF(A130="",0,IF(AND(O130=TRUE,G130&lt;&gt;TRUE),IFERROR(H130,0)+IFERROR(I130,0)+IFERROR(J130,0)+IFERROR(K130,0)+IFERROR(L130,0),0))</f>
        <v/>
      </c>
    </row>
    <row r="131">
      <c r="A131" s="10" t="n"/>
      <c r="B131" s="10" t="n"/>
      <c r="C131" s="11" t="n"/>
      <c r="D131" s="11" t="n"/>
      <c r="E131" s="10" t="n"/>
      <c r="F131" s="10" t="n"/>
      <c r="G131" s="12" t="n"/>
      <c r="H131" s="13" t="n"/>
      <c r="I131" s="13" t="n"/>
      <c r="J131" s="13" t="n"/>
      <c r="K131" s="13" t="n"/>
      <c r="L131" s="13" t="n"/>
      <c r="M131" s="14">
        <f>IFERROR(IF(A131="","",IFERROR(VLOOKUP(A131,Raw_PriorMonth!A:E,5,FALSE),0)),0)</f>
        <v/>
      </c>
      <c r="N131" s="14">
        <f>IF(A131="","",IFERROR(E131,0)+IFERROR(M131,0))</f>
        <v/>
      </c>
      <c r="O131" s="15">
        <f>IF(A131="","",IF(N131&gt;=28,TRUE,FALSE))</f>
        <v/>
      </c>
      <c r="P131" s="15">
        <f>IF(A131="","",OR(G131=TRUE,O131=TRUE))</f>
        <v/>
      </c>
      <c r="Q131" s="16">
        <f>IF(A131="","",IFERROR(H131,0)+IFERROR(I131,0)+IFERROR(J131,0)+IFERROR(K131,0)+IFERROR(L131,0))</f>
        <v/>
      </c>
      <c r="R131" s="16">
        <f>IF(A131="","",IF(P131=TRUE,0,Q131))</f>
        <v/>
      </c>
      <c r="S131" s="16">
        <f>IF(A131="","",IF(P131=TRUE,0,IFERROR(H131,0)))</f>
        <v/>
      </c>
      <c r="T131" s="16">
        <f>IF(A131="","",IF(P131=TRUE,0,IFERROR(I131,0)))</f>
        <v/>
      </c>
      <c r="U131" s="16">
        <f>IF(A131="","",IF(P131=TRUE,0,IFERROR(J131,0)))</f>
        <v/>
      </c>
      <c r="V131" s="16">
        <f>IF(A131="","",IF(P131=TRUE,0,IFERROR(K131,0)))</f>
        <v/>
      </c>
      <c r="W131" s="16">
        <f>IF(A131="","",IF(P131=TRUE,0,IFERROR(L131,0)))</f>
        <v/>
      </c>
      <c r="X131" s="16">
        <f>IF(A131="","",IF(P131=TRUE,0,IFERROR(H131,0)+IFERROR(I131,0)+IFERROR(L131,0)))</f>
        <v/>
      </c>
      <c r="Y131" s="16">
        <f>IF(A131="",0,IF(G131=TRUE,IFERROR(H131,0)+IFERROR(I131,0)+IFERROR(J131,0)+IFERROR(K131,0)+IFERROR(L131,0),0))</f>
        <v/>
      </c>
      <c r="Z131" s="16">
        <f>IF(A131="",0,IF(AND(O131=TRUE,G131&lt;&gt;TRUE),IFERROR(H131,0)+IFERROR(I131,0)+IFERROR(J131,0)+IFERROR(K131,0)+IFERROR(L131,0),0))</f>
        <v/>
      </c>
    </row>
    <row r="132">
      <c r="A132" s="10" t="n"/>
      <c r="B132" s="10" t="n"/>
      <c r="C132" s="11" t="n"/>
      <c r="D132" s="11" t="n"/>
      <c r="E132" s="10" t="n"/>
      <c r="F132" s="10" t="n"/>
      <c r="G132" s="12" t="n"/>
      <c r="H132" s="13" t="n"/>
      <c r="I132" s="13" t="n"/>
      <c r="J132" s="13" t="n"/>
      <c r="K132" s="13" t="n"/>
      <c r="L132" s="13" t="n"/>
      <c r="M132" s="14">
        <f>IFERROR(IF(A132="","",IFERROR(VLOOKUP(A132,Raw_PriorMonth!A:E,5,FALSE),0)),0)</f>
        <v/>
      </c>
      <c r="N132" s="14">
        <f>IF(A132="","",IFERROR(E132,0)+IFERROR(M132,0))</f>
        <v/>
      </c>
      <c r="O132" s="15">
        <f>IF(A132="","",IF(N132&gt;=28,TRUE,FALSE))</f>
        <v/>
      </c>
      <c r="P132" s="15">
        <f>IF(A132="","",OR(G132=TRUE,O132=TRUE))</f>
        <v/>
      </c>
      <c r="Q132" s="16">
        <f>IF(A132="","",IFERROR(H132,0)+IFERROR(I132,0)+IFERROR(J132,0)+IFERROR(K132,0)+IFERROR(L132,0))</f>
        <v/>
      </c>
      <c r="R132" s="16">
        <f>IF(A132="","",IF(P132=TRUE,0,Q132))</f>
        <v/>
      </c>
      <c r="S132" s="16">
        <f>IF(A132="","",IF(P132=TRUE,0,IFERROR(H132,0)))</f>
        <v/>
      </c>
      <c r="T132" s="16">
        <f>IF(A132="","",IF(P132=TRUE,0,IFERROR(I132,0)))</f>
        <v/>
      </c>
      <c r="U132" s="16">
        <f>IF(A132="","",IF(P132=TRUE,0,IFERROR(J132,0)))</f>
        <v/>
      </c>
      <c r="V132" s="16">
        <f>IF(A132="","",IF(P132=TRUE,0,IFERROR(K132,0)))</f>
        <v/>
      </c>
      <c r="W132" s="16">
        <f>IF(A132="","",IF(P132=TRUE,0,IFERROR(L132,0)))</f>
        <v/>
      </c>
      <c r="X132" s="16">
        <f>IF(A132="","",IF(P132=TRUE,0,IFERROR(H132,0)+IFERROR(I132,0)+IFERROR(L132,0)))</f>
        <v/>
      </c>
      <c r="Y132" s="16">
        <f>IF(A132="",0,IF(G132=TRUE,IFERROR(H132,0)+IFERROR(I132,0)+IFERROR(J132,0)+IFERROR(K132,0)+IFERROR(L132,0),0))</f>
        <v/>
      </c>
      <c r="Z132" s="16">
        <f>IF(A132="",0,IF(AND(O132=TRUE,G132&lt;&gt;TRUE),IFERROR(H132,0)+IFERROR(I132,0)+IFERROR(J132,0)+IFERROR(K132,0)+IFERROR(L132,0),0))</f>
        <v/>
      </c>
    </row>
    <row r="133">
      <c r="A133" s="10" t="n"/>
      <c r="B133" s="10" t="n"/>
      <c r="C133" s="11" t="n"/>
      <c r="D133" s="11" t="n"/>
      <c r="E133" s="10" t="n"/>
      <c r="F133" s="10" t="n"/>
      <c r="G133" s="12" t="n"/>
      <c r="H133" s="13" t="n"/>
      <c r="I133" s="13" t="n"/>
      <c r="J133" s="13" t="n"/>
      <c r="K133" s="13" t="n"/>
      <c r="L133" s="13" t="n"/>
      <c r="M133" s="14">
        <f>IFERROR(IF(A133="","",IFERROR(VLOOKUP(A133,Raw_PriorMonth!A:E,5,FALSE),0)),0)</f>
        <v/>
      </c>
      <c r="N133" s="14">
        <f>IF(A133="","",IFERROR(E133,0)+IFERROR(M133,0))</f>
        <v/>
      </c>
      <c r="O133" s="15">
        <f>IF(A133="","",IF(N133&gt;=28,TRUE,FALSE))</f>
        <v/>
      </c>
      <c r="P133" s="15">
        <f>IF(A133="","",OR(G133=TRUE,O133=TRUE))</f>
        <v/>
      </c>
      <c r="Q133" s="16">
        <f>IF(A133="","",IFERROR(H133,0)+IFERROR(I133,0)+IFERROR(J133,0)+IFERROR(K133,0)+IFERROR(L133,0))</f>
        <v/>
      </c>
      <c r="R133" s="16">
        <f>IF(A133="","",IF(P133=TRUE,0,Q133))</f>
        <v/>
      </c>
      <c r="S133" s="16">
        <f>IF(A133="","",IF(P133=TRUE,0,IFERROR(H133,0)))</f>
        <v/>
      </c>
      <c r="T133" s="16">
        <f>IF(A133="","",IF(P133=TRUE,0,IFERROR(I133,0)))</f>
        <v/>
      </c>
      <c r="U133" s="16">
        <f>IF(A133="","",IF(P133=TRUE,0,IFERROR(J133,0)))</f>
        <v/>
      </c>
      <c r="V133" s="16">
        <f>IF(A133="","",IF(P133=TRUE,0,IFERROR(K133,0)))</f>
        <v/>
      </c>
      <c r="W133" s="16">
        <f>IF(A133="","",IF(P133=TRUE,0,IFERROR(L133,0)))</f>
        <v/>
      </c>
      <c r="X133" s="16">
        <f>IF(A133="","",IF(P133=TRUE,0,IFERROR(H133,0)+IFERROR(I133,0)+IFERROR(L133,0)))</f>
        <v/>
      </c>
      <c r="Y133" s="16">
        <f>IF(A133="",0,IF(G133=TRUE,IFERROR(H133,0)+IFERROR(I133,0)+IFERROR(J133,0)+IFERROR(K133,0)+IFERROR(L133,0),0))</f>
        <v/>
      </c>
      <c r="Z133" s="16">
        <f>IF(A133="",0,IF(AND(O133=TRUE,G133&lt;&gt;TRUE),IFERROR(H133,0)+IFERROR(I133,0)+IFERROR(J133,0)+IFERROR(K133,0)+IFERROR(L133,0),0))</f>
        <v/>
      </c>
    </row>
    <row r="134">
      <c r="A134" s="10" t="n"/>
      <c r="B134" s="10" t="n"/>
      <c r="C134" s="11" t="n"/>
      <c r="D134" s="11" t="n"/>
      <c r="E134" s="10" t="n"/>
      <c r="F134" s="10" t="n"/>
      <c r="G134" s="12" t="n"/>
      <c r="H134" s="13" t="n"/>
      <c r="I134" s="13" t="n"/>
      <c r="J134" s="13" t="n"/>
      <c r="K134" s="13" t="n"/>
      <c r="L134" s="13" t="n"/>
      <c r="M134" s="14">
        <f>IFERROR(IF(A134="","",IFERROR(VLOOKUP(A134,Raw_PriorMonth!A:E,5,FALSE),0)),0)</f>
        <v/>
      </c>
      <c r="N134" s="14">
        <f>IF(A134="","",IFERROR(E134,0)+IFERROR(M134,0))</f>
        <v/>
      </c>
      <c r="O134" s="15">
        <f>IF(A134="","",IF(N134&gt;=28,TRUE,FALSE))</f>
        <v/>
      </c>
      <c r="P134" s="15">
        <f>IF(A134="","",OR(G134=TRUE,O134=TRUE))</f>
        <v/>
      </c>
      <c r="Q134" s="16">
        <f>IF(A134="","",IFERROR(H134,0)+IFERROR(I134,0)+IFERROR(J134,0)+IFERROR(K134,0)+IFERROR(L134,0))</f>
        <v/>
      </c>
      <c r="R134" s="16">
        <f>IF(A134="","",IF(P134=TRUE,0,Q134))</f>
        <v/>
      </c>
      <c r="S134" s="16">
        <f>IF(A134="","",IF(P134=TRUE,0,IFERROR(H134,0)))</f>
        <v/>
      </c>
      <c r="T134" s="16">
        <f>IF(A134="","",IF(P134=TRUE,0,IFERROR(I134,0)))</f>
        <v/>
      </c>
      <c r="U134" s="16">
        <f>IF(A134="","",IF(P134=TRUE,0,IFERROR(J134,0)))</f>
        <v/>
      </c>
      <c r="V134" s="16">
        <f>IF(A134="","",IF(P134=TRUE,0,IFERROR(K134,0)))</f>
        <v/>
      </c>
      <c r="W134" s="16">
        <f>IF(A134="","",IF(P134=TRUE,0,IFERROR(L134,0)))</f>
        <v/>
      </c>
      <c r="X134" s="16">
        <f>IF(A134="","",IF(P134=TRUE,0,IFERROR(H134,0)+IFERROR(I134,0)+IFERROR(L134,0)))</f>
        <v/>
      </c>
      <c r="Y134" s="16">
        <f>IF(A134="",0,IF(G134=TRUE,IFERROR(H134,0)+IFERROR(I134,0)+IFERROR(J134,0)+IFERROR(K134,0)+IFERROR(L134,0),0))</f>
        <v/>
      </c>
      <c r="Z134" s="16">
        <f>IF(A134="",0,IF(AND(O134=TRUE,G134&lt;&gt;TRUE),IFERROR(H134,0)+IFERROR(I134,0)+IFERROR(J134,0)+IFERROR(K134,0)+IFERROR(L134,0),0))</f>
        <v/>
      </c>
    </row>
    <row r="135">
      <c r="A135" s="10" t="n"/>
      <c r="B135" s="10" t="n"/>
      <c r="C135" s="11" t="n"/>
      <c r="D135" s="11" t="n"/>
      <c r="E135" s="10" t="n"/>
      <c r="F135" s="10" t="n"/>
      <c r="G135" s="12" t="n"/>
      <c r="H135" s="13" t="n"/>
      <c r="I135" s="13" t="n"/>
      <c r="J135" s="13" t="n"/>
      <c r="K135" s="13" t="n"/>
      <c r="L135" s="13" t="n"/>
      <c r="M135" s="14">
        <f>IFERROR(IF(A135="","",IFERROR(VLOOKUP(A135,Raw_PriorMonth!A:E,5,FALSE),0)),0)</f>
        <v/>
      </c>
      <c r="N135" s="14">
        <f>IF(A135="","",IFERROR(E135,0)+IFERROR(M135,0))</f>
        <v/>
      </c>
      <c r="O135" s="15">
        <f>IF(A135="","",IF(N135&gt;=28,TRUE,FALSE))</f>
        <v/>
      </c>
      <c r="P135" s="15">
        <f>IF(A135="","",OR(G135=TRUE,O135=TRUE))</f>
        <v/>
      </c>
      <c r="Q135" s="16">
        <f>IF(A135="","",IFERROR(H135,0)+IFERROR(I135,0)+IFERROR(J135,0)+IFERROR(K135,0)+IFERROR(L135,0))</f>
        <v/>
      </c>
      <c r="R135" s="16">
        <f>IF(A135="","",IF(P135=TRUE,0,Q135))</f>
        <v/>
      </c>
      <c r="S135" s="16">
        <f>IF(A135="","",IF(P135=TRUE,0,IFERROR(H135,0)))</f>
        <v/>
      </c>
      <c r="T135" s="16">
        <f>IF(A135="","",IF(P135=TRUE,0,IFERROR(I135,0)))</f>
        <v/>
      </c>
      <c r="U135" s="16">
        <f>IF(A135="","",IF(P135=TRUE,0,IFERROR(J135,0)))</f>
        <v/>
      </c>
      <c r="V135" s="16">
        <f>IF(A135="","",IF(P135=TRUE,0,IFERROR(K135,0)))</f>
        <v/>
      </c>
      <c r="W135" s="16">
        <f>IF(A135="","",IF(P135=TRUE,0,IFERROR(L135,0)))</f>
        <v/>
      </c>
      <c r="X135" s="16">
        <f>IF(A135="","",IF(P135=TRUE,0,IFERROR(H135,0)+IFERROR(I135,0)+IFERROR(L135,0)))</f>
        <v/>
      </c>
      <c r="Y135" s="16">
        <f>IF(A135="",0,IF(G135=TRUE,IFERROR(H135,0)+IFERROR(I135,0)+IFERROR(J135,0)+IFERROR(K135,0)+IFERROR(L135,0),0))</f>
        <v/>
      </c>
      <c r="Z135" s="16">
        <f>IF(A135="",0,IF(AND(O135=TRUE,G135&lt;&gt;TRUE),IFERROR(H135,0)+IFERROR(I135,0)+IFERROR(J135,0)+IFERROR(K135,0)+IFERROR(L135,0),0))</f>
        <v/>
      </c>
    </row>
    <row r="136">
      <c r="A136" s="10" t="n"/>
      <c r="B136" s="10" t="n"/>
      <c r="C136" s="11" t="n"/>
      <c r="D136" s="11" t="n"/>
      <c r="E136" s="10" t="n"/>
      <c r="F136" s="10" t="n"/>
      <c r="G136" s="12" t="n"/>
      <c r="H136" s="13" t="n"/>
      <c r="I136" s="13" t="n"/>
      <c r="J136" s="13" t="n"/>
      <c r="K136" s="13" t="n"/>
      <c r="L136" s="13" t="n"/>
      <c r="M136" s="14">
        <f>IFERROR(IF(A136="","",IFERROR(VLOOKUP(A136,Raw_PriorMonth!A:E,5,FALSE),0)),0)</f>
        <v/>
      </c>
      <c r="N136" s="14">
        <f>IF(A136="","",IFERROR(E136,0)+IFERROR(M136,0))</f>
        <v/>
      </c>
      <c r="O136" s="15">
        <f>IF(A136="","",IF(N136&gt;=28,TRUE,FALSE))</f>
        <v/>
      </c>
      <c r="P136" s="15">
        <f>IF(A136="","",OR(G136=TRUE,O136=TRUE))</f>
        <v/>
      </c>
      <c r="Q136" s="16">
        <f>IF(A136="","",IFERROR(H136,0)+IFERROR(I136,0)+IFERROR(J136,0)+IFERROR(K136,0)+IFERROR(L136,0))</f>
        <v/>
      </c>
      <c r="R136" s="16">
        <f>IF(A136="","",IF(P136=TRUE,0,Q136))</f>
        <v/>
      </c>
      <c r="S136" s="16">
        <f>IF(A136="","",IF(P136=TRUE,0,IFERROR(H136,0)))</f>
        <v/>
      </c>
      <c r="T136" s="16">
        <f>IF(A136="","",IF(P136=TRUE,0,IFERROR(I136,0)))</f>
        <v/>
      </c>
      <c r="U136" s="16">
        <f>IF(A136="","",IF(P136=TRUE,0,IFERROR(J136,0)))</f>
        <v/>
      </c>
      <c r="V136" s="16">
        <f>IF(A136="","",IF(P136=TRUE,0,IFERROR(K136,0)))</f>
        <v/>
      </c>
      <c r="W136" s="16">
        <f>IF(A136="","",IF(P136=TRUE,0,IFERROR(L136,0)))</f>
        <v/>
      </c>
      <c r="X136" s="16">
        <f>IF(A136="","",IF(P136=TRUE,0,IFERROR(H136,0)+IFERROR(I136,0)+IFERROR(L136,0)))</f>
        <v/>
      </c>
      <c r="Y136" s="16">
        <f>IF(A136="",0,IF(G136=TRUE,IFERROR(H136,0)+IFERROR(I136,0)+IFERROR(J136,0)+IFERROR(K136,0)+IFERROR(L136,0),0))</f>
        <v/>
      </c>
      <c r="Z136" s="16">
        <f>IF(A136="",0,IF(AND(O136=TRUE,G136&lt;&gt;TRUE),IFERROR(H136,0)+IFERROR(I136,0)+IFERROR(J136,0)+IFERROR(K136,0)+IFERROR(L136,0),0))</f>
        <v/>
      </c>
    </row>
    <row r="137">
      <c r="A137" s="10" t="n"/>
      <c r="B137" s="10" t="n"/>
      <c r="C137" s="11" t="n"/>
      <c r="D137" s="11" t="n"/>
      <c r="E137" s="10" t="n"/>
      <c r="F137" s="10" t="n"/>
      <c r="G137" s="12" t="n"/>
      <c r="H137" s="13" t="n"/>
      <c r="I137" s="13" t="n"/>
      <c r="J137" s="13" t="n"/>
      <c r="K137" s="13" t="n"/>
      <c r="L137" s="13" t="n"/>
      <c r="M137" s="14">
        <f>IFERROR(IF(A137="","",IFERROR(VLOOKUP(A137,Raw_PriorMonth!A:E,5,FALSE),0)),0)</f>
        <v/>
      </c>
      <c r="N137" s="14">
        <f>IF(A137="","",IFERROR(E137,0)+IFERROR(M137,0))</f>
        <v/>
      </c>
      <c r="O137" s="15">
        <f>IF(A137="","",IF(N137&gt;=28,TRUE,FALSE))</f>
        <v/>
      </c>
      <c r="P137" s="15">
        <f>IF(A137="","",OR(G137=TRUE,O137=TRUE))</f>
        <v/>
      </c>
      <c r="Q137" s="16">
        <f>IF(A137="","",IFERROR(H137,0)+IFERROR(I137,0)+IFERROR(J137,0)+IFERROR(K137,0)+IFERROR(L137,0))</f>
        <v/>
      </c>
      <c r="R137" s="16">
        <f>IF(A137="","",IF(P137=TRUE,0,Q137))</f>
        <v/>
      </c>
      <c r="S137" s="16">
        <f>IF(A137="","",IF(P137=TRUE,0,IFERROR(H137,0)))</f>
        <v/>
      </c>
      <c r="T137" s="16">
        <f>IF(A137="","",IF(P137=TRUE,0,IFERROR(I137,0)))</f>
        <v/>
      </c>
      <c r="U137" s="16">
        <f>IF(A137="","",IF(P137=TRUE,0,IFERROR(J137,0)))</f>
        <v/>
      </c>
      <c r="V137" s="16">
        <f>IF(A137="","",IF(P137=TRUE,0,IFERROR(K137,0)))</f>
        <v/>
      </c>
      <c r="W137" s="16">
        <f>IF(A137="","",IF(P137=TRUE,0,IFERROR(L137,0)))</f>
        <v/>
      </c>
      <c r="X137" s="16">
        <f>IF(A137="","",IF(P137=TRUE,0,IFERROR(H137,0)+IFERROR(I137,0)+IFERROR(L137,0)))</f>
        <v/>
      </c>
      <c r="Y137" s="16">
        <f>IF(A137="",0,IF(G137=TRUE,IFERROR(H137,0)+IFERROR(I137,0)+IFERROR(J137,0)+IFERROR(K137,0)+IFERROR(L137,0),0))</f>
        <v/>
      </c>
      <c r="Z137" s="16">
        <f>IF(A137="",0,IF(AND(O137=TRUE,G137&lt;&gt;TRUE),IFERROR(H137,0)+IFERROR(I137,0)+IFERROR(J137,0)+IFERROR(K137,0)+IFERROR(L137,0),0))</f>
        <v/>
      </c>
    </row>
    <row r="138">
      <c r="A138" s="10" t="n"/>
      <c r="B138" s="10" t="n"/>
      <c r="C138" s="11" t="n"/>
      <c r="D138" s="11" t="n"/>
      <c r="E138" s="10" t="n"/>
      <c r="F138" s="10" t="n"/>
      <c r="G138" s="12" t="n"/>
      <c r="H138" s="13" t="n"/>
      <c r="I138" s="13" t="n"/>
      <c r="J138" s="13" t="n"/>
      <c r="K138" s="13" t="n"/>
      <c r="L138" s="13" t="n"/>
      <c r="M138" s="14">
        <f>IFERROR(IF(A138="","",IFERROR(VLOOKUP(A138,Raw_PriorMonth!A:E,5,FALSE),0)),0)</f>
        <v/>
      </c>
      <c r="N138" s="14">
        <f>IF(A138="","",IFERROR(E138,0)+IFERROR(M138,0))</f>
        <v/>
      </c>
      <c r="O138" s="15">
        <f>IF(A138="","",IF(N138&gt;=28,TRUE,FALSE))</f>
        <v/>
      </c>
      <c r="P138" s="15">
        <f>IF(A138="","",OR(G138=TRUE,O138=TRUE))</f>
        <v/>
      </c>
      <c r="Q138" s="16">
        <f>IF(A138="","",IFERROR(H138,0)+IFERROR(I138,0)+IFERROR(J138,0)+IFERROR(K138,0)+IFERROR(L138,0))</f>
        <v/>
      </c>
      <c r="R138" s="16">
        <f>IF(A138="","",IF(P138=TRUE,0,Q138))</f>
        <v/>
      </c>
      <c r="S138" s="16">
        <f>IF(A138="","",IF(P138=TRUE,0,IFERROR(H138,0)))</f>
        <v/>
      </c>
      <c r="T138" s="16">
        <f>IF(A138="","",IF(P138=TRUE,0,IFERROR(I138,0)))</f>
        <v/>
      </c>
      <c r="U138" s="16">
        <f>IF(A138="","",IF(P138=TRUE,0,IFERROR(J138,0)))</f>
        <v/>
      </c>
      <c r="V138" s="16">
        <f>IF(A138="","",IF(P138=TRUE,0,IFERROR(K138,0)))</f>
        <v/>
      </c>
      <c r="W138" s="16">
        <f>IF(A138="","",IF(P138=TRUE,0,IFERROR(L138,0)))</f>
        <v/>
      </c>
      <c r="X138" s="16">
        <f>IF(A138="","",IF(P138=TRUE,0,IFERROR(H138,0)+IFERROR(I138,0)+IFERROR(L138,0)))</f>
        <v/>
      </c>
      <c r="Y138" s="16">
        <f>IF(A138="",0,IF(G138=TRUE,IFERROR(H138,0)+IFERROR(I138,0)+IFERROR(J138,0)+IFERROR(K138,0)+IFERROR(L138,0),0))</f>
        <v/>
      </c>
      <c r="Z138" s="16">
        <f>IF(A138="",0,IF(AND(O138=TRUE,G138&lt;&gt;TRUE),IFERROR(H138,0)+IFERROR(I138,0)+IFERROR(J138,0)+IFERROR(K138,0)+IFERROR(L138,0),0))</f>
        <v/>
      </c>
    </row>
    <row r="139">
      <c r="A139" s="10" t="n"/>
      <c r="B139" s="10" t="n"/>
      <c r="C139" s="11" t="n"/>
      <c r="D139" s="11" t="n"/>
      <c r="E139" s="10" t="n"/>
      <c r="F139" s="10" t="n"/>
      <c r="G139" s="12" t="n"/>
      <c r="H139" s="13" t="n"/>
      <c r="I139" s="13" t="n"/>
      <c r="J139" s="13" t="n"/>
      <c r="K139" s="13" t="n"/>
      <c r="L139" s="13" t="n"/>
      <c r="M139" s="14">
        <f>IFERROR(IF(A139="","",IFERROR(VLOOKUP(A139,Raw_PriorMonth!A:E,5,FALSE),0)),0)</f>
        <v/>
      </c>
      <c r="N139" s="14">
        <f>IF(A139="","",IFERROR(E139,0)+IFERROR(M139,0))</f>
        <v/>
      </c>
      <c r="O139" s="15">
        <f>IF(A139="","",IF(N139&gt;=28,TRUE,FALSE))</f>
        <v/>
      </c>
      <c r="P139" s="15">
        <f>IF(A139="","",OR(G139=TRUE,O139=TRUE))</f>
        <v/>
      </c>
      <c r="Q139" s="16">
        <f>IF(A139="","",IFERROR(H139,0)+IFERROR(I139,0)+IFERROR(J139,0)+IFERROR(K139,0)+IFERROR(L139,0))</f>
        <v/>
      </c>
      <c r="R139" s="16">
        <f>IF(A139="","",IF(P139=TRUE,0,Q139))</f>
        <v/>
      </c>
      <c r="S139" s="16">
        <f>IF(A139="","",IF(P139=TRUE,0,IFERROR(H139,0)))</f>
        <v/>
      </c>
      <c r="T139" s="16">
        <f>IF(A139="","",IF(P139=TRUE,0,IFERROR(I139,0)))</f>
        <v/>
      </c>
      <c r="U139" s="16">
        <f>IF(A139="","",IF(P139=TRUE,0,IFERROR(J139,0)))</f>
        <v/>
      </c>
      <c r="V139" s="16">
        <f>IF(A139="","",IF(P139=TRUE,0,IFERROR(K139,0)))</f>
        <v/>
      </c>
      <c r="W139" s="16">
        <f>IF(A139="","",IF(P139=TRUE,0,IFERROR(L139,0)))</f>
        <v/>
      </c>
      <c r="X139" s="16">
        <f>IF(A139="","",IF(P139=TRUE,0,IFERROR(H139,0)+IFERROR(I139,0)+IFERROR(L139,0)))</f>
        <v/>
      </c>
      <c r="Y139" s="16">
        <f>IF(A139="",0,IF(G139=TRUE,IFERROR(H139,0)+IFERROR(I139,0)+IFERROR(J139,0)+IFERROR(K139,0)+IFERROR(L139,0),0))</f>
        <v/>
      </c>
      <c r="Z139" s="16">
        <f>IF(A139="",0,IF(AND(O139=TRUE,G139&lt;&gt;TRUE),IFERROR(H139,0)+IFERROR(I139,0)+IFERROR(J139,0)+IFERROR(K139,0)+IFERROR(L139,0),0))</f>
        <v/>
      </c>
    </row>
    <row r="140">
      <c r="A140" s="10" t="n"/>
      <c r="B140" s="10" t="n"/>
      <c r="C140" s="11" t="n"/>
      <c r="D140" s="11" t="n"/>
      <c r="E140" s="10" t="n"/>
      <c r="F140" s="10" t="n"/>
      <c r="G140" s="12" t="n"/>
      <c r="H140" s="13" t="n"/>
      <c r="I140" s="13" t="n"/>
      <c r="J140" s="13" t="n"/>
      <c r="K140" s="13" t="n"/>
      <c r="L140" s="13" t="n"/>
      <c r="M140" s="14">
        <f>IFERROR(IF(A140="","",IFERROR(VLOOKUP(A140,Raw_PriorMonth!A:E,5,FALSE),0)),0)</f>
        <v/>
      </c>
      <c r="N140" s="14">
        <f>IF(A140="","",IFERROR(E140,0)+IFERROR(M140,0))</f>
        <v/>
      </c>
      <c r="O140" s="15">
        <f>IF(A140="","",IF(N140&gt;=28,TRUE,FALSE))</f>
        <v/>
      </c>
      <c r="P140" s="15">
        <f>IF(A140="","",OR(G140=TRUE,O140=TRUE))</f>
        <v/>
      </c>
      <c r="Q140" s="16">
        <f>IF(A140="","",IFERROR(H140,0)+IFERROR(I140,0)+IFERROR(J140,0)+IFERROR(K140,0)+IFERROR(L140,0))</f>
        <v/>
      </c>
      <c r="R140" s="16">
        <f>IF(A140="","",IF(P140=TRUE,0,Q140))</f>
        <v/>
      </c>
      <c r="S140" s="16">
        <f>IF(A140="","",IF(P140=TRUE,0,IFERROR(H140,0)))</f>
        <v/>
      </c>
      <c r="T140" s="16">
        <f>IF(A140="","",IF(P140=TRUE,0,IFERROR(I140,0)))</f>
        <v/>
      </c>
      <c r="U140" s="16">
        <f>IF(A140="","",IF(P140=TRUE,0,IFERROR(J140,0)))</f>
        <v/>
      </c>
      <c r="V140" s="16">
        <f>IF(A140="","",IF(P140=TRUE,0,IFERROR(K140,0)))</f>
        <v/>
      </c>
      <c r="W140" s="16">
        <f>IF(A140="","",IF(P140=TRUE,0,IFERROR(L140,0)))</f>
        <v/>
      </c>
      <c r="X140" s="16">
        <f>IF(A140="","",IF(P140=TRUE,0,IFERROR(H140,0)+IFERROR(I140,0)+IFERROR(L140,0)))</f>
        <v/>
      </c>
      <c r="Y140" s="16">
        <f>IF(A140="",0,IF(G140=TRUE,IFERROR(H140,0)+IFERROR(I140,0)+IFERROR(J140,0)+IFERROR(K140,0)+IFERROR(L140,0),0))</f>
        <v/>
      </c>
      <c r="Z140" s="16">
        <f>IF(A140="",0,IF(AND(O140=TRUE,G140&lt;&gt;TRUE),IFERROR(H140,0)+IFERROR(I140,0)+IFERROR(J140,0)+IFERROR(K140,0)+IFERROR(L140,0),0))</f>
        <v/>
      </c>
    </row>
    <row r="141">
      <c r="A141" s="10" t="n"/>
      <c r="B141" s="10" t="n"/>
      <c r="C141" s="11" t="n"/>
      <c r="D141" s="11" t="n"/>
      <c r="E141" s="10" t="n"/>
      <c r="F141" s="10" t="n"/>
      <c r="G141" s="12" t="n"/>
      <c r="H141" s="13" t="n"/>
      <c r="I141" s="13" t="n"/>
      <c r="J141" s="13" t="n"/>
      <c r="K141" s="13" t="n"/>
      <c r="L141" s="13" t="n"/>
      <c r="M141" s="14">
        <f>IFERROR(IF(A141="","",IFERROR(VLOOKUP(A141,Raw_PriorMonth!A:E,5,FALSE),0)),0)</f>
        <v/>
      </c>
      <c r="N141" s="14">
        <f>IF(A141="","",IFERROR(E141,0)+IFERROR(M141,0))</f>
        <v/>
      </c>
      <c r="O141" s="15">
        <f>IF(A141="","",IF(N141&gt;=28,TRUE,FALSE))</f>
        <v/>
      </c>
      <c r="P141" s="15">
        <f>IF(A141="","",OR(G141=TRUE,O141=TRUE))</f>
        <v/>
      </c>
      <c r="Q141" s="16">
        <f>IF(A141="","",IFERROR(H141,0)+IFERROR(I141,0)+IFERROR(J141,0)+IFERROR(K141,0)+IFERROR(L141,0))</f>
        <v/>
      </c>
      <c r="R141" s="16">
        <f>IF(A141="","",IF(P141=TRUE,0,Q141))</f>
        <v/>
      </c>
      <c r="S141" s="16">
        <f>IF(A141="","",IF(P141=TRUE,0,IFERROR(H141,0)))</f>
        <v/>
      </c>
      <c r="T141" s="16">
        <f>IF(A141="","",IF(P141=TRUE,0,IFERROR(I141,0)))</f>
        <v/>
      </c>
      <c r="U141" s="16">
        <f>IF(A141="","",IF(P141=TRUE,0,IFERROR(J141,0)))</f>
        <v/>
      </c>
      <c r="V141" s="16">
        <f>IF(A141="","",IF(P141=TRUE,0,IFERROR(K141,0)))</f>
        <v/>
      </c>
      <c r="W141" s="16">
        <f>IF(A141="","",IF(P141=TRUE,0,IFERROR(L141,0)))</f>
        <v/>
      </c>
      <c r="X141" s="16">
        <f>IF(A141="","",IF(P141=TRUE,0,IFERROR(H141,0)+IFERROR(I141,0)+IFERROR(L141,0)))</f>
        <v/>
      </c>
      <c r="Y141" s="16">
        <f>IF(A141="",0,IF(G141=TRUE,IFERROR(H141,0)+IFERROR(I141,0)+IFERROR(J141,0)+IFERROR(K141,0)+IFERROR(L141,0),0))</f>
        <v/>
      </c>
      <c r="Z141" s="16">
        <f>IF(A141="",0,IF(AND(O141=TRUE,G141&lt;&gt;TRUE),IFERROR(H141,0)+IFERROR(I141,0)+IFERROR(J141,0)+IFERROR(K141,0)+IFERROR(L141,0),0))</f>
        <v/>
      </c>
    </row>
    <row r="142">
      <c r="A142" s="10" t="n"/>
      <c r="B142" s="10" t="n"/>
      <c r="C142" s="11" t="n"/>
      <c r="D142" s="11" t="n"/>
      <c r="E142" s="10" t="n"/>
      <c r="F142" s="10" t="n"/>
      <c r="G142" s="12" t="n"/>
      <c r="H142" s="13" t="n"/>
      <c r="I142" s="13" t="n"/>
      <c r="J142" s="13" t="n"/>
      <c r="K142" s="13" t="n"/>
      <c r="L142" s="13" t="n"/>
      <c r="M142" s="14">
        <f>IFERROR(IF(A142="","",IFERROR(VLOOKUP(A142,Raw_PriorMonth!A:E,5,FALSE),0)),0)</f>
        <v/>
      </c>
      <c r="N142" s="14">
        <f>IF(A142="","",IFERROR(E142,0)+IFERROR(M142,0))</f>
        <v/>
      </c>
      <c r="O142" s="15">
        <f>IF(A142="","",IF(N142&gt;=28,TRUE,FALSE))</f>
        <v/>
      </c>
      <c r="P142" s="15">
        <f>IF(A142="","",OR(G142=TRUE,O142=TRUE))</f>
        <v/>
      </c>
      <c r="Q142" s="16">
        <f>IF(A142="","",IFERROR(H142,0)+IFERROR(I142,0)+IFERROR(J142,0)+IFERROR(K142,0)+IFERROR(L142,0))</f>
        <v/>
      </c>
      <c r="R142" s="16">
        <f>IF(A142="","",IF(P142=TRUE,0,Q142))</f>
        <v/>
      </c>
      <c r="S142" s="16">
        <f>IF(A142="","",IF(P142=TRUE,0,IFERROR(H142,0)))</f>
        <v/>
      </c>
      <c r="T142" s="16">
        <f>IF(A142="","",IF(P142=TRUE,0,IFERROR(I142,0)))</f>
        <v/>
      </c>
      <c r="U142" s="16">
        <f>IF(A142="","",IF(P142=TRUE,0,IFERROR(J142,0)))</f>
        <v/>
      </c>
      <c r="V142" s="16">
        <f>IF(A142="","",IF(P142=TRUE,0,IFERROR(K142,0)))</f>
        <v/>
      </c>
      <c r="W142" s="16">
        <f>IF(A142="","",IF(P142=TRUE,0,IFERROR(L142,0)))</f>
        <v/>
      </c>
      <c r="X142" s="16">
        <f>IF(A142="","",IF(P142=TRUE,0,IFERROR(H142,0)+IFERROR(I142,0)+IFERROR(L142,0)))</f>
        <v/>
      </c>
      <c r="Y142" s="16">
        <f>IF(A142="",0,IF(G142=TRUE,IFERROR(H142,0)+IFERROR(I142,0)+IFERROR(J142,0)+IFERROR(K142,0)+IFERROR(L142,0),0))</f>
        <v/>
      </c>
      <c r="Z142" s="16">
        <f>IF(A142="",0,IF(AND(O142=TRUE,G142&lt;&gt;TRUE),IFERROR(H142,0)+IFERROR(I142,0)+IFERROR(J142,0)+IFERROR(K142,0)+IFERROR(L142,0),0))</f>
        <v/>
      </c>
    </row>
    <row r="143">
      <c r="A143" s="10" t="n"/>
      <c r="B143" s="10" t="n"/>
      <c r="C143" s="11" t="n"/>
      <c r="D143" s="11" t="n"/>
      <c r="E143" s="10" t="n"/>
      <c r="F143" s="10" t="n"/>
      <c r="G143" s="12" t="n"/>
      <c r="H143" s="13" t="n"/>
      <c r="I143" s="13" t="n"/>
      <c r="J143" s="13" t="n"/>
      <c r="K143" s="13" t="n"/>
      <c r="L143" s="13" t="n"/>
      <c r="M143" s="14">
        <f>IFERROR(IF(A143="","",IFERROR(VLOOKUP(A143,Raw_PriorMonth!A:E,5,FALSE),0)),0)</f>
        <v/>
      </c>
      <c r="N143" s="14">
        <f>IF(A143="","",IFERROR(E143,0)+IFERROR(M143,0))</f>
        <v/>
      </c>
      <c r="O143" s="15">
        <f>IF(A143="","",IF(N143&gt;=28,TRUE,FALSE))</f>
        <v/>
      </c>
      <c r="P143" s="15">
        <f>IF(A143="","",OR(G143=TRUE,O143=TRUE))</f>
        <v/>
      </c>
      <c r="Q143" s="16">
        <f>IF(A143="","",IFERROR(H143,0)+IFERROR(I143,0)+IFERROR(J143,0)+IFERROR(K143,0)+IFERROR(L143,0))</f>
        <v/>
      </c>
      <c r="R143" s="16">
        <f>IF(A143="","",IF(P143=TRUE,0,Q143))</f>
        <v/>
      </c>
      <c r="S143" s="16">
        <f>IF(A143="","",IF(P143=TRUE,0,IFERROR(H143,0)))</f>
        <v/>
      </c>
      <c r="T143" s="16">
        <f>IF(A143="","",IF(P143=TRUE,0,IFERROR(I143,0)))</f>
        <v/>
      </c>
      <c r="U143" s="16">
        <f>IF(A143="","",IF(P143=TRUE,0,IFERROR(J143,0)))</f>
        <v/>
      </c>
      <c r="V143" s="16">
        <f>IF(A143="","",IF(P143=TRUE,0,IFERROR(K143,0)))</f>
        <v/>
      </c>
      <c r="W143" s="16">
        <f>IF(A143="","",IF(P143=TRUE,0,IFERROR(L143,0)))</f>
        <v/>
      </c>
      <c r="X143" s="16">
        <f>IF(A143="","",IF(P143=TRUE,0,IFERROR(H143,0)+IFERROR(I143,0)+IFERROR(L143,0)))</f>
        <v/>
      </c>
      <c r="Y143" s="16">
        <f>IF(A143="",0,IF(G143=TRUE,IFERROR(H143,0)+IFERROR(I143,0)+IFERROR(J143,0)+IFERROR(K143,0)+IFERROR(L143,0),0))</f>
        <v/>
      </c>
      <c r="Z143" s="16">
        <f>IF(A143="",0,IF(AND(O143=TRUE,G143&lt;&gt;TRUE),IFERROR(H143,0)+IFERROR(I143,0)+IFERROR(J143,0)+IFERROR(K143,0)+IFERROR(L143,0),0))</f>
        <v/>
      </c>
    </row>
    <row r="144">
      <c r="A144" s="10" t="n"/>
      <c r="B144" s="10" t="n"/>
      <c r="C144" s="11" t="n"/>
      <c r="D144" s="11" t="n"/>
      <c r="E144" s="10" t="n"/>
      <c r="F144" s="10" t="n"/>
      <c r="G144" s="12" t="n"/>
      <c r="H144" s="13" t="n"/>
      <c r="I144" s="13" t="n"/>
      <c r="J144" s="13" t="n"/>
      <c r="K144" s="13" t="n"/>
      <c r="L144" s="13" t="n"/>
      <c r="M144" s="14">
        <f>IFERROR(IF(A144="","",IFERROR(VLOOKUP(A144,Raw_PriorMonth!A:E,5,FALSE),0)),0)</f>
        <v/>
      </c>
      <c r="N144" s="14">
        <f>IF(A144="","",IFERROR(E144,0)+IFERROR(M144,0))</f>
        <v/>
      </c>
      <c r="O144" s="15">
        <f>IF(A144="","",IF(N144&gt;=28,TRUE,FALSE))</f>
        <v/>
      </c>
      <c r="P144" s="15">
        <f>IF(A144="","",OR(G144=TRUE,O144=TRUE))</f>
        <v/>
      </c>
      <c r="Q144" s="16">
        <f>IF(A144="","",IFERROR(H144,0)+IFERROR(I144,0)+IFERROR(J144,0)+IFERROR(K144,0)+IFERROR(L144,0))</f>
        <v/>
      </c>
      <c r="R144" s="16">
        <f>IF(A144="","",IF(P144=TRUE,0,Q144))</f>
        <v/>
      </c>
      <c r="S144" s="16">
        <f>IF(A144="","",IF(P144=TRUE,0,IFERROR(H144,0)))</f>
        <v/>
      </c>
      <c r="T144" s="16">
        <f>IF(A144="","",IF(P144=TRUE,0,IFERROR(I144,0)))</f>
        <v/>
      </c>
      <c r="U144" s="16">
        <f>IF(A144="","",IF(P144=TRUE,0,IFERROR(J144,0)))</f>
        <v/>
      </c>
      <c r="V144" s="16">
        <f>IF(A144="","",IF(P144=TRUE,0,IFERROR(K144,0)))</f>
        <v/>
      </c>
      <c r="W144" s="16">
        <f>IF(A144="","",IF(P144=TRUE,0,IFERROR(L144,0)))</f>
        <v/>
      </c>
      <c r="X144" s="16">
        <f>IF(A144="","",IF(P144=TRUE,0,IFERROR(H144,0)+IFERROR(I144,0)+IFERROR(L144,0)))</f>
        <v/>
      </c>
      <c r="Y144" s="16">
        <f>IF(A144="",0,IF(G144=TRUE,IFERROR(H144,0)+IFERROR(I144,0)+IFERROR(J144,0)+IFERROR(K144,0)+IFERROR(L144,0),0))</f>
        <v/>
      </c>
      <c r="Z144" s="16">
        <f>IF(A144="",0,IF(AND(O144=TRUE,G144&lt;&gt;TRUE),IFERROR(H144,0)+IFERROR(I144,0)+IFERROR(J144,0)+IFERROR(K144,0)+IFERROR(L144,0),0))</f>
        <v/>
      </c>
    </row>
    <row r="145">
      <c r="A145" s="10" t="n"/>
      <c r="B145" s="10" t="n"/>
      <c r="C145" s="11" t="n"/>
      <c r="D145" s="11" t="n"/>
      <c r="E145" s="10" t="n"/>
      <c r="F145" s="10" t="n"/>
      <c r="G145" s="12" t="n"/>
      <c r="H145" s="13" t="n"/>
      <c r="I145" s="13" t="n"/>
      <c r="J145" s="13" t="n"/>
      <c r="K145" s="13" t="n"/>
      <c r="L145" s="13" t="n"/>
      <c r="M145" s="14">
        <f>IFERROR(IF(A145="","",IFERROR(VLOOKUP(A145,Raw_PriorMonth!A:E,5,FALSE),0)),0)</f>
        <v/>
      </c>
      <c r="N145" s="14">
        <f>IF(A145="","",IFERROR(E145,0)+IFERROR(M145,0))</f>
        <v/>
      </c>
      <c r="O145" s="15">
        <f>IF(A145="","",IF(N145&gt;=28,TRUE,FALSE))</f>
        <v/>
      </c>
      <c r="P145" s="15">
        <f>IF(A145="","",OR(G145=TRUE,O145=TRUE))</f>
        <v/>
      </c>
      <c r="Q145" s="16">
        <f>IF(A145="","",IFERROR(H145,0)+IFERROR(I145,0)+IFERROR(J145,0)+IFERROR(K145,0)+IFERROR(L145,0))</f>
        <v/>
      </c>
      <c r="R145" s="16">
        <f>IF(A145="","",IF(P145=TRUE,0,Q145))</f>
        <v/>
      </c>
      <c r="S145" s="16">
        <f>IF(A145="","",IF(P145=TRUE,0,IFERROR(H145,0)))</f>
        <v/>
      </c>
      <c r="T145" s="16">
        <f>IF(A145="","",IF(P145=TRUE,0,IFERROR(I145,0)))</f>
        <v/>
      </c>
      <c r="U145" s="16">
        <f>IF(A145="","",IF(P145=TRUE,0,IFERROR(J145,0)))</f>
        <v/>
      </c>
      <c r="V145" s="16">
        <f>IF(A145="","",IF(P145=TRUE,0,IFERROR(K145,0)))</f>
        <v/>
      </c>
      <c r="W145" s="16">
        <f>IF(A145="","",IF(P145=TRUE,0,IFERROR(L145,0)))</f>
        <v/>
      </c>
      <c r="X145" s="16">
        <f>IF(A145="","",IF(P145=TRUE,0,IFERROR(H145,0)+IFERROR(I145,0)+IFERROR(L145,0)))</f>
        <v/>
      </c>
      <c r="Y145" s="16">
        <f>IF(A145="",0,IF(G145=TRUE,IFERROR(H145,0)+IFERROR(I145,0)+IFERROR(J145,0)+IFERROR(K145,0)+IFERROR(L145,0),0))</f>
        <v/>
      </c>
      <c r="Z145" s="16">
        <f>IF(A145="",0,IF(AND(O145=TRUE,G145&lt;&gt;TRUE),IFERROR(H145,0)+IFERROR(I145,0)+IFERROR(J145,0)+IFERROR(K145,0)+IFERROR(L145,0),0))</f>
        <v/>
      </c>
    </row>
    <row r="146">
      <c r="A146" s="10" t="n"/>
      <c r="B146" s="10" t="n"/>
      <c r="C146" s="11" t="n"/>
      <c r="D146" s="11" t="n"/>
      <c r="E146" s="10" t="n"/>
      <c r="F146" s="10" t="n"/>
      <c r="G146" s="12" t="n"/>
      <c r="H146" s="13" t="n"/>
      <c r="I146" s="13" t="n"/>
      <c r="J146" s="13" t="n"/>
      <c r="K146" s="13" t="n"/>
      <c r="L146" s="13" t="n"/>
      <c r="M146" s="14">
        <f>IFERROR(IF(A146="","",IFERROR(VLOOKUP(A146,Raw_PriorMonth!A:E,5,FALSE),0)),0)</f>
        <v/>
      </c>
      <c r="N146" s="14">
        <f>IF(A146="","",IFERROR(E146,0)+IFERROR(M146,0))</f>
        <v/>
      </c>
      <c r="O146" s="15">
        <f>IF(A146="","",IF(N146&gt;=28,TRUE,FALSE))</f>
        <v/>
      </c>
      <c r="P146" s="15">
        <f>IF(A146="","",OR(G146=TRUE,O146=TRUE))</f>
        <v/>
      </c>
      <c r="Q146" s="16">
        <f>IF(A146="","",IFERROR(H146,0)+IFERROR(I146,0)+IFERROR(J146,0)+IFERROR(K146,0)+IFERROR(L146,0))</f>
        <v/>
      </c>
      <c r="R146" s="16">
        <f>IF(A146="","",IF(P146=TRUE,0,Q146))</f>
        <v/>
      </c>
      <c r="S146" s="16">
        <f>IF(A146="","",IF(P146=TRUE,0,IFERROR(H146,0)))</f>
        <v/>
      </c>
      <c r="T146" s="16">
        <f>IF(A146="","",IF(P146=TRUE,0,IFERROR(I146,0)))</f>
        <v/>
      </c>
      <c r="U146" s="16">
        <f>IF(A146="","",IF(P146=TRUE,0,IFERROR(J146,0)))</f>
        <v/>
      </c>
      <c r="V146" s="16">
        <f>IF(A146="","",IF(P146=TRUE,0,IFERROR(K146,0)))</f>
        <v/>
      </c>
      <c r="W146" s="16">
        <f>IF(A146="","",IF(P146=TRUE,0,IFERROR(L146,0)))</f>
        <v/>
      </c>
      <c r="X146" s="16">
        <f>IF(A146="","",IF(P146=TRUE,0,IFERROR(H146,0)+IFERROR(I146,0)+IFERROR(L146,0)))</f>
        <v/>
      </c>
      <c r="Y146" s="16">
        <f>IF(A146="",0,IF(G146=TRUE,IFERROR(H146,0)+IFERROR(I146,0)+IFERROR(J146,0)+IFERROR(K146,0)+IFERROR(L146,0),0))</f>
        <v/>
      </c>
      <c r="Z146" s="16">
        <f>IF(A146="",0,IF(AND(O146=TRUE,G146&lt;&gt;TRUE),IFERROR(H146,0)+IFERROR(I146,0)+IFERROR(J146,0)+IFERROR(K146,0)+IFERROR(L146,0),0))</f>
        <v/>
      </c>
    </row>
    <row r="147">
      <c r="A147" s="10" t="n"/>
      <c r="B147" s="10" t="n"/>
      <c r="C147" s="11" t="n"/>
      <c r="D147" s="11" t="n"/>
      <c r="E147" s="10" t="n"/>
      <c r="F147" s="10" t="n"/>
      <c r="G147" s="12" t="n"/>
      <c r="H147" s="13" t="n"/>
      <c r="I147" s="13" t="n"/>
      <c r="J147" s="13" t="n"/>
      <c r="K147" s="13" t="n"/>
      <c r="L147" s="13" t="n"/>
      <c r="M147" s="14">
        <f>IFERROR(IF(A147="","",IFERROR(VLOOKUP(A147,Raw_PriorMonth!A:E,5,FALSE),0)),0)</f>
        <v/>
      </c>
      <c r="N147" s="14">
        <f>IF(A147="","",IFERROR(E147,0)+IFERROR(M147,0))</f>
        <v/>
      </c>
      <c r="O147" s="15">
        <f>IF(A147="","",IF(N147&gt;=28,TRUE,FALSE))</f>
        <v/>
      </c>
      <c r="P147" s="15">
        <f>IF(A147="","",OR(G147=TRUE,O147=TRUE))</f>
        <v/>
      </c>
      <c r="Q147" s="16">
        <f>IF(A147="","",IFERROR(H147,0)+IFERROR(I147,0)+IFERROR(J147,0)+IFERROR(K147,0)+IFERROR(L147,0))</f>
        <v/>
      </c>
      <c r="R147" s="16">
        <f>IF(A147="","",IF(P147=TRUE,0,Q147))</f>
        <v/>
      </c>
      <c r="S147" s="16">
        <f>IF(A147="","",IF(P147=TRUE,0,IFERROR(H147,0)))</f>
        <v/>
      </c>
      <c r="T147" s="16">
        <f>IF(A147="","",IF(P147=TRUE,0,IFERROR(I147,0)))</f>
        <v/>
      </c>
      <c r="U147" s="16">
        <f>IF(A147="","",IF(P147=TRUE,0,IFERROR(J147,0)))</f>
        <v/>
      </c>
      <c r="V147" s="16">
        <f>IF(A147="","",IF(P147=TRUE,0,IFERROR(K147,0)))</f>
        <v/>
      </c>
      <c r="W147" s="16">
        <f>IF(A147="","",IF(P147=TRUE,0,IFERROR(L147,0)))</f>
        <v/>
      </c>
      <c r="X147" s="16">
        <f>IF(A147="","",IF(P147=TRUE,0,IFERROR(H147,0)+IFERROR(I147,0)+IFERROR(L147,0)))</f>
        <v/>
      </c>
      <c r="Y147" s="16">
        <f>IF(A147="",0,IF(G147=TRUE,IFERROR(H147,0)+IFERROR(I147,0)+IFERROR(J147,0)+IFERROR(K147,0)+IFERROR(L147,0),0))</f>
        <v/>
      </c>
      <c r="Z147" s="16">
        <f>IF(A147="",0,IF(AND(O147=TRUE,G147&lt;&gt;TRUE),IFERROR(H147,0)+IFERROR(I147,0)+IFERROR(J147,0)+IFERROR(K147,0)+IFERROR(L147,0),0))</f>
        <v/>
      </c>
    </row>
    <row r="148">
      <c r="A148" s="10" t="n"/>
      <c r="B148" s="10" t="n"/>
      <c r="C148" s="11" t="n"/>
      <c r="D148" s="11" t="n"/>
      <c r="E148" s="10" t="n"/>
      <c r="F148" s="10" t="n"/>
      <c r="G148" s="12" t="n"/>
      <c r="H148" s="13" t="n"/>
      <c r="I148" s="13" t="n"/>
      <c r="J148" s="13" t="n"/>
      <c r="K148" s="13" t="n"/>
      <c r="L148" s="13" t="n"/>
      <c r="M148" s="14">
        <f>IFERROR(IF(A148="","",IFERROR(VLOOKUP(A148,Raw_PriorMonth!A:E,5,FALSE),0)),0)</f>
        <v/>
      </c>
      <c r="N148" s="14">
        <f>IF(A148="","",IFERROR(E148,0)+IFERROR(M148,0))</f>
        <v/>
      </c>
      <c r="O148" s="15">
        <f>IF(A148="","",IF(N148&gt;=28,TRUE,FALSE))</f>
        <v/>
      </c>
      <c r="P148" s="15">
        <f>IF(A148="","",OR(G148=TRUE,O148=TRUE))</f>
        <v/>
      </c>
      <c r="Q148" s="16">
        <f>IF(A148="","",IFERROR(H148,0)+IFERROR(I148,0)+IFERROR(J148,0)+IFERROR(K148,0)+IFERROR(L148,0))</f>
        <v/>
      </c>
      <c r="R148" s="16">
        <f>IF(A148="","",IF(P148=TRUE,0,Q148))</f>
        <v/>
      </c>
      <c r="S148" s="16">
        <f>IF(A148="","",IF(P148=TRUE,0,IFERROR(H148,0)))</f>
        <v/>
      </c>
      <c r="T148" s="16">
        <f>IF(A148="","",IF(P148=TRUE,0,IFERROR(I148,0)))</f>
        <v/>
      </c>
      <c r="U148" s="16">
        <f>IF(A148="","",IF(P148=TRUE,0,IFERROR(J148,0)))</f>
        <v/>
      </c>
      <c r="V148" s="16">
        <f>IF(A148="","",IF(P148=TRUE,0,IFERROR(K148,0)))</f>
        <v/>
      </c>
      <c r="W148" s="16">
        <f>IF(A148="","",IF(P148=TRUE,0,IFERROR(L148,0)))</f>
        <v/>
      </c>
      <c r="X148" s="16">
        <f>IF(A148="","",IF(P148=TRUE,0,IFERROR(H148,0)+IFERROR(I148,0)+IFERROR(L148,0)))</f>
        <v/>
      </c>
      <c r="Y148" s="16">
        <f>IF(A148="",0,IF(G148=TRUE,IFERROR(H148,0)+IFERROR(I148,0)+IFERROR(J148,0)+IFERROR(K148,0)+IFERROR(L148,0),0))</f>
        <v/>
      </c>
      <c r="Z148" s="16">
        <f>IF(A148="",0,IF(AND(O148=TRUE,G148&lt;&gt;TRUE),IFERROR(H148,0)+IFERROR(I148,0)+IFERROR(J148,0)+IFERROR(K148,0)+IFERROR(L148,0),0))</f>
        <v/>
      </c>
    </row>
    <row r="149">
      <c r="A149" s="10" t="n"/>
      <c r="B149" s="10" t="n"/>
      <c r="C149" s="11" t="n"/>
      <c r="D149" s="11" t="n"/>
      <c r="E149" s="10" t="n"/>
      <c r="F149" s="10" t="n"/>
      <c r="G149" s="12" t="n"/>
      <c r="H149" s="13" t="n"/>
      <c r="I149" s="13" t="n"/>
      <c r="J149" s="13" t="n"/>
      <c r="K149" s="13" t="n"/>
      <c r="L149" s="13" t="n"/>
      <c r="M149" s="14">
        <f>IFERROR(IF(A149="","",IFERROR(VLOOKUP(A149,Raw_PriorMonth!A:E,5,FALSE),0)),0)</f>
        <v/>
      </c>
      <c r="N149" s="14">
        <f>IF(A149="","",IFERROR(E149,0)+IFERROR(M149,0))</f>
        <v/>
      </c>
      <c r="O149" s="15">
        <f>IF(A149="","",IF(N149&gt;=28,TRUE,FALSE))</f>
        <v/>
      </c>
      <c r="P149" s="15">
        <f>IF(A149="","",OR(G149=TRUE,O149=TRUE))</f>
        <v/>
      </c>
      <c r="Q149" s="16">
        <f>IF(A149="","",IFERROR(H149,0)+IFERROR(I149,0)+IFERROR(J149,0)+IFERROR(K149,0)+IFERROR(L149,0))</f>
        <v/>
      </c>
      <c r="R149" s="16">
        <f>IF(A149="","",IF(P149=TRUE,0,Q149))</f>
        <v/>
      </c>
      <c r="S149" s="16">
        <f>IF(A149="","",IF(P149=TRUE,0,IFERROR(H149,0)))</f>
        <v/>
      </c>
      <c r="T149" s="16">
        <f>IF(A149="","",IF(P149=TRUE,0,IFERROR(I149,0)))</f>
        <v/>
      </c>
      <c r="U149" s="16">
        <f>IF(A149="","",IF(P149=TRUE,0,IFERROR(J149,0)))</f>
        <v/>
      </c>
      <c r="V149" s="16">
        <f>IF(A149="","",IF(P149=TRUE,0,IFERROR(K149,0)))</f>
        <v/>
      </c>
      <c r="W149" s="16">
        <f>IF(A149="","",IF(P149=TRUE,0,IFERROR(L149,0)))</f>
        <v/>
      </c>
      <c r="X149" s="16">
        <f>IF(A149="","",IF(P149=TRUE,0,IFERROR(H149,0)+IFERROR(I149,0)+IFERROR(L149,0)))</f>
        <v/>
      </c>
      <c r="Y149" s="16">
        <f>IF(A149="",0,IF(G149=TRUE,IFERROR(H149,0)+IFERROR(I149,0)+IFERROR(J149,0)+IFERROR(K149,0)+IFERROR(L149,0),0))</f>
        <v/>
      </c>
      <c r="Z149" s="16">
        <f>IF(A149="",0,IF(AND(O149=TRUE,G149&lt;&gt;TRUE),IFERROR(H149,0)+IFERROR(I149,0)+IFERROR(J149,0)+IFERROR(K149,0)+IFERROR(L149,0),0))</f>
        <v/>
      </c>
    </row>
    <row r="150">
      <c r="A150" s="10" t="n"/>
      <c r="B150" s="10" t="n"/>
      <c r="C150" s="11" t="n"/>
      <c r="D150" s="11" t="n"/>
      <c r="E150" s="10" t="n"/>
      <c r="F150" s="10" t="n"/>
      <c r="G150" s="12" t="n"/>
      <c r="H150" s="13" t="n"/>
      <c r="I150" s="13" t="n"/>
      <c r="J150" s="13" t="n"/>
      <c r="K150" s="13" t="n"/>
      <c r="L150" s="13" t="n"/>
      <c r="M150" s="14">
        <f>IFERROR(IF(A150="","",IFERROR(VLOOKUP(A150,Raw_PriorMonth!A:E,5,FALSE),0)),0)</f>
        <v/>
      </c>
      <c r="N150" s="14">
        <f>IF(A150="","",IFERROR(E150,0)+IFERROR(M150,0))</f>
        <v/>
      </c>
      <c r="O150" s="15">
        <f>IF(A150="","",IF(N150&gt;=28,TRUE,FALSE))</f>
        <v/>
      </c>
      <c r="P150" s="15">
        <f>IF(A150="","",OR(G150=TRUE,O150=TRUE))</f>
        <v/>
      </c>
      <c r="Q150" s="16">
        <f>IF(A150="","",IFERROR(H150,0)+IFERROR(I150,0)+IFERROR(J150,0)+IFERROR(K150,0)+IFERROR(L150,0))</f>
        <v/>
      </c>
      <c r="R150" s="16">
        <f>IF(A150="","",IF(P150=TRUE,0,Q150))</f>
        <v/>
      </c>
      <c r="S150" s="16">
        <f>IF(A150="","",IF(P150=TRUE,0,IFERROR(H150,0)))</f>
        <v/>
      </c>
      <c r="T150" s="16">
        <f>IF(A150="","",IF(P150=TRUE,0,IFERROR(I150,0)))</f>
        <v/>
      </c>
      <c r="U150" s="16">
        <f>IF(A150="","",IF(P150=TRUE,0,IFERROR(J150,0)))</f>
        <v/>
      </c>
      <c r="V150" s="16">
        <f>IF(A150="","",IF(P150=TRUE,0,IFERROR(K150,0)))</f>
        <v/>
      </c>
      <c r="W150" s="16">
        <f>IF(A150="","",IF(P150=TRUE,0,IFERROR(L150,0)))</f>
        <v/>
      </c>
      <c r="X150" s="16">
        <f>IF(A150="","",IF(P150=TRUE,0,IFERROR(H150,0)+IFERROR(I150,0)+IFERROR(L150,0)))</f>
        <v/>
      </c>
      <c r="Y150" s="16">
        <f>IF(A150="",0,IF(G150=TRUE,IFERROR(H150,0)+IFERROR(I150,0)+IFERROR(J150,0)+IFERROR(K150,0)+IFERROR(L150,0),0))</f>
        <v/>
      </c>
      <c r="Z150" s="16">
        <f>IF(A150="",0,IF(AND(O150=TRUE,G150&lt;&gt;TRUE),IFERROR(H150,0)+IFERROR(I150,0)+IFERROR(J150,0)+IFERROR(K150,0)+IFERROR(L150,0),0))</f>
        <v/>
      </c>
    </row>
    <row r="151">
      <c r="A151" s="10" t="n"/>
      <c r="B151" s="10" t="n"/>
      <c r="C151" s="11" t="n"/>
      <c r="D151" s="11" t="n"/>
      <c r="E151" s="10" t="n"/>
      <c r="F151" s="10" t="n"/>
      <c r="G151" s="12" t="n"/>
      <c r="H151" s="13" t="n"/>
      <c r="I151" s="13" t="n"/>
      <c r="J151" s="13" t="n"/>
      <c r="K151" s="13" t="n"/>
      <c r="L151" s="13" t="n"/>
      <c r="M151" s="14">
        <f>IFERROR(IF(A151="","",IFERROR(VLOOKUP(A151,Raw_PriorMonth!A:E,5,FALSE),0)),0)</f>
        <v/>
      </c>
      <c r="N151" s="14">
        <f>IF(A151="","",IFERROR(E151,0)+IFERROR(M151,0))</f>
        <v/>
      </c>
      <c r="O151" s="15">
        <f>IF(A151="","",IF(N151&gt;=28,TRUE,FALSE))</f>
        <v/>
      </c>
      <c r="P151" s="15">
        <f>IF(A151="","",OR(G151=TRUE,O151=TRUE))</f>
        <v/>
      </c>
      <c r="Q151" s="16">
        <f>IF(A151="","",IFERROR(H151,0)+IFERROR(I151,0)+IFERROR(J151,0)+IFERROR(K151,0)+IFERROR(L151,0))</f>
        <v/>
      </c>
      <c r="R151" s="16">
        <f>IF(A151="","",IF(P151=TRUE,0,Q151))</f>
        <v/>
      </c>
      <c r="S151" s="16">
        <f>IF(A151="","",IF(P151=TRUE,0,IFERROR(H151,0)))</f>
        <v/>
      </c>
      <c r="T151" s="16">
        <f>IF(A151="","",IF(P151=TRUE,0,IFERROR(I151,0)))</f>
        <v/>
      </c>
      <c r="U151" s="16">
        <f>IF(A151="","",IF(P151=TRUE,0,IFERROR(J151,0)))</f>
        <v/>
      </c>
      <c r="V151" s="16">
        <f>IF(A151="","",IF(P151=TRUE,0,IFERROR(K151,0)))</f>
        <v/>
      </c>
      <c r="W151" s="16">
        <f>IF(A151="","",IF(P151=TRUE,0,IFERROR(L151,0)))</f>
        <v/>
      </c>
      <c r="X151" s="16">
        <f>IF(A151="","",IF(P151=TRUE,0,IFERROR(H151,0)+IFERROR(I151,0)+IFERROR(L151,0)))</f>
        <v/>
      </c>
      <c r="Y151" s="16">
        <f>IF(A151="",0,IF(G151=TRUE,IFERROR(H151,0)+IFERROR(I151,0)+IFERROR(J151,0)+IFERROR(K151,0)+IFERROR(L151,0),0))</f>
        <v/>
      </c>
      <c r="Z151" s="16">
        <f>IF(A151="",0,IF(AND(O151=TRUE,G151&lt;&gt;TRUE),IFERROR(H151,0)+IFERROR(I151,0)+IFERROR(J151,0)+IFERROR(K151,0)+IFERROR(L151,0),0))</f>
        <v/>
      </c>
    </row>
    <row r="152">
      <c r="A152" s="10" t="n"/>
      <c r="B152" s="10" t="n"/>
      <c r="C152" s="11" t="n"/>
      <c r="D152" s="11" t="n"/>
      <c r="E152" s="10" t="n"/>
      <c r="F152" s="10" t="n"/>
      <c r="G152" s="12" t="n"/>
      <c r="H152" s="13" t="n"/>
      <c r="I152" s="13" t="n"/>
      <c r="J152" s="13" t="n"/>
      <c r="K152" s="13" t="n"/>
      <c r="L152" s="13" t="n"/>
      <c r="M152" s="14">
        <f>IFERROR(IF(A152="","",IFERROR(VLOOKUP(A152,Raw_PriorMonth!A:E,5,FALSE),0)),0)</f>
        <v/>
      </c>
      <c r="N152" s="14">
        <f>IF(A152="","",IFERROR(E152,0)+IFERROR(M152,0))</f>
        <v/>
      </c>
      <c r="O152" s="15">
        <f>IF(A152="","",IF(N152&gt;=28,TRUE,FALSE))</f>
        <v/>
      </c>
      <c r="P152" s="15">
        <f>IF(A152="","",OR(G152=TRUE,O152=TRUE))</f>
        <v/>
      </c>
      <c r="Q152" s="16">
        <f>IF(A152="","",IFERROR(H152,0)+IFERROR(I152,0)+IFERROR(J152,0)+IFERROR(K152,0)+IFERROR(L152,0))</f>
        <v/>
      </c>
      <c r="R152" s="16">
        <f>IF(A152="","",IF(P152=TRUE,0,Q152))</f>
        <v/>
      </c>
      <c r="S152" s="16">
        <f>IF(A152="","",IF(P152=TRUE,0,IFERROR(H152,0)))</f>
        <v/>
      </c>
      <c r="T152" s="16">
        <f>IF(A152="","",IF(P152=TRUE,0,IFERROR(I152,0)))</f>
        <v/>
      </c>
      <c r="U152" s="16">
        <f>IF(A152="","",IF(P152=TRUE,0,IFERROR(J152,0)))</f>
        <v/>
      </c>
      <c r="V152" s="16">
        <f>IF(A152="","",IF(P152=TRUE,0,IFERROR(K152,0)))</f>
        <v/>
      </c>
      <c r="W152" s="16">
        <f>IF(A152="","",IF(P152=TRUE,0,IFERROR(L152,0)))</f>
        <v/>
      </c>
      <c r="X152" s="16">
        <f>IF(A152="","",IF(P152=TRUE,0,IFERROR(H152,0)+IFERROR(I152,0)+IFERROR(L152,0)))</f>
        <v/>
      </c>
      <c r="Y152" s="16">
        <f>IF(A152="",0,IF(G152=TRUE,IFERROR(H152,0)+IFERROR(I152,0)+IFERROR(J152,0)+IFERROR(K152,0)+IFERROR(L152,0),0))</f>
        <v/>
      </c>
      <c r="Z152" s="16">
        <f>IF(A152="",0,IF(AND(O152=TRUE,G152&lt;&gt;TRUE),IFERROR(H152,0)+IFERROR(I152,0)+IFERROR(J152,0)+IFERROR(K152,0)+IFERROR(L152,0),0))</f>
        <v/>
      </c>
    </row>
    <row r="153">
      <c r="A153" s="10" t="n"/>
      <c r="B153" s="10" t="n"/>
      <c r="C153" s="11" t="n"/>
      <c r="D153" s="11" t="n"/>
      <c r="E153" s="10" t="n"/>
      <c r="F153" s="10" t="n"/>
      <c r="G153" s="12" t="n"/>
      <c r="H153" s="13" t="n"/>
      <c r="I153" s="13" t="n"/>
      <c r="J153" s="13" t="n"/>
      <c r="K153" s="13" t="n"/>
      <c r="L153" s="13" t="n"/>
      <c r="M153" s="14">
        <f>IFERROR(IF(A153="","",IFERROR(VLOOKUP(A153,Raw_PriorMonth!A:E,5,FALSE),0)),0)</f>
        <v/>
      </c>
      <c r="N153" s="14">
        <f>IF(A153="","",IFERROR(E153,0)+IFERROR(M153,0))</f>
        <v/>
      </c>
      <c r="O153" s="15">
        <f>IF(A153="","",IF(N153&gt;=28,TRUE,FALSE))</f>
        <v/>
      </c>
      <c r="P153" s="15">
        <f>IF(A153="","",OR(G153=TRUE,O153=TRUE))</f>
        <v/>
      </c>
      <c r="Q153" s="16">
        <f>IF(A153="","",IFERROR(H153,0)+IFERROR(I153,0)+IFERROR(J153,0)+IFERROR(K153,0)+IFERROR(L153,0))</f>
        <v/>
      </c>
      <c r="R153" s="16">
        <f>IF(A153="","",IF(P153=TRUE,0,Q153))</f>
        <v/>
      </c>
      <c r="S153" s="16">
        <f>IF(A153="","",IF(P153=TRUE,0,IFERROR(H153,0)))</f>
        <v/>
      </c>
      <c r="T153" s="16">
        <f>IF(A153="","",IF(P153=TRUE,0,IFERROR(I153,0)))</f>
        <v/>
      </c>
      <c r="U153" s="16">
        <f>IF(A153="","",IF(P153=TRUE,0,IFERROR(J153,0)))</f>
        <v/>
      </c>
      <c r="V153" s="16">
        <f>IF(A153="","",IF(P153=TRUE,0,IFERROR(K153,0)))</f>
        <v/>
      </c>
      <c r="W153" s="16">
        <f>IF(A153="","",IF(P153=TRUE,0,IFERROR(L153,0)))</f>
        <v/>
      </c>
      <c r="X153" s="16">
        <f>IF(A153="","",IF(P153=TRUE,0,IFERROR(H153,0)+IFERROR(I153,0)+IFERROR(L153,0)))</f>
        <v/>
      </c>
      <c r="Y153" s="16">
        <f>IF(A153="",0,IF(G153=TRUE,IFERROR(H153,0)+IFERROR(I153,0)+IFERROR(J153,0)+IFERROR(K153,0)+IFERROR(L153,0),0))</f>
        <v/>
      </c>
      <c r="Z153" s="16">
        <f>IF(A153="",0,IF(AND(O153=TRUE,G153&lt;&gt;TRUE),IFERROR(H153,0)+IFERROR(I153,0)+IFERROR(J153,0)+IFERROR(K153,0)+IFERROR(L153,0),0))</f>
        <v/>
      </c>
    </row>
    <row r="154">
      <c r="A154" s="10" t="n"/>
      <c r="B154" s="10" t="n"/>
      <c r="C154" s="11" t="n"/>
      <c r="D154" s="11" t="n"/>
      <c r="E154" s="10" t="n"/>
      <c r="F154" s="10" t="n"/>
      <c r="G154" s="12" t="n"/>
      <c r="H154" s="13" t="n"/>
      <c r="I154" s="13" t="n"/>
      <c r="J154" s="13" t="n"/>
      <c r="K154" s="13" t="n"/>
      <c r="L154" s="13" t="n"/>
      <c r="M154" s="14">
        <f>IFERROR(IF(A154="","",IFERROR(VLOOKUP(A154,Raw_PriorMonth!A:E,5,FALSE),0)),0)</f>
        <v/>
      </c>
      <c r="N154" s="14">
        <f>IF(A154="","",IFERROR(E154,0)+IFERROR(M154,0))</f>
        <v/>
      </c>
      <c r="O154" s="15">
        <f>IF(A154="","",IF(N154&gt;=28,TRUE,FALSE))</f>
        <v/>
      </c>
      <c r="P154" s="15">
        <f>IF(A154="","",OR(G154=TRUE,O154=TRUE))</f>
        <v/>
      </c>
      <c r="Q154" s="16">
        <f>IF(A154="","",IFERROR(H154,0)+IFERROR(I154,0)+IFERROR(J154,0)+IFERROR(K154,0)+IFERROR(L154,0))</f>
        <v/>
      </c>
      <c r="R154" s="16">
        <f>IF(A154="","",IF(P154=TRUE,0,Q154))</f>
        <v/>
      </c>
      <c r="S154" s="16">
        <f>IF(A154="","",IF(P154=TRUE,0,IFERROR(H154,0)))</f>
        <v/>
      </c>
      <c r="T154" s="16">
        <f>IF(A154="","",IF(P154=TRUE,0,IFERROR(I154,0)))</f>
        <v/>
      </c>
      <c r="U154" s="16">
        <f>IF(A154="","",IF(P154=TRUE,0,IFERROR(J154,0)))</f>
        <v/>
      </c>
      <c r="V154" s="16">
        <f>IF(A154="","",IF(P154=TRUE,0,IFERROR(K154,0)))</f>
        <v/>
      </c>
      <c r="W154" s="16">
        <f>IF(A154="","",IF(P154=TRUE,0,IFERROR(L154,0)))</f>
        <v/>
      </c>
      <c r="X154" s="16">
        <f>IF(A154="","",IF(P154=TRUE,0,IFERROR(H154,0)+IFERROR(I154,0)+IFERROR(L154,0)))</f>
        <v/>
      </c>
      <c r="Y154" s="16">
        <f>IF(A154="",0,IF(G154=TRUE,IFERROR(H154,0)+IFERROR(I154,0)+IFERROR(J154,0)+IFERROR(K154,0)+IFERROR(L154,0),0))</f>
        <v/>
      </c>
      <c r="Z154" s="16">
        <f>IF(A154="",0,IF(AND(O154=TRUE,G154&lt;&gt;TRUE),IFERROR(H154,0)+IFERROR(I154,0)+IFERROR(J154,0)+IFERROR(K154,0)+IFERROR(L154,0),0))</f>
        <v/>
      </c>
    </row>
    <row r="155">
      <c r="A155" s="10" t="n"/>
      <c r="B155" s="10" t="n"/>
      <c r="C155" s="11" t="n"/>
      <c r="D155" s="11" t="n"/>
      <c r="E155" s="10" t="n"/>
      <c r="F155" s="10" t="n"/>
      <c r="G155" s="12" t="n"/>
      <c r="H155" s="13" t="n"/>
      <c r="I155" s="13" t="n"/>
      <c r="J155" s="13" t="n"/>
      <c r="K155" s="13" t="n"/>
      <c r="L155" s="13" t="n"/>
      <c r="M155" s="14">
        <f>IFERROR(IF(A155="","",IFERROR(VLOOKUP(A155,Raw_PriorMonth!A:E,5,FALSE),0)),0)</f>
        <v/>
      </c>
      <c r="N155" s="14">
        <f>IF(A155="","",IFERROR(E155,0)+IFERROR(M155,0))</f>
        <v/>
      </c>
      <c r="O155" s="15">
        <f>IF(A155="","",IF(N155&gt;=28,TRUE,FALSE))</f>
        <v/>
      </c>
      <c r="P155" s="15">
        <f>IF(A155="","",OR(G155=TRUE,O155=TRUE))</f>
        <v/>
      </c>
      <c r="Q155" s="16">
        <f>IF(A155="","",IFERROR(H155,0)+IFERROR(I155,0)+IFERROR(J155,0)+IFERROR(K155,0)+IFERROR(L155,0))</f>
        <v/>
      </c>
      <c r="R155" s="16">
        <f>IF(A155="","",IF(P155=TRUE,0,Q155))</f>
        <v/>
      </c>
      <c r="S155" s="16">
        <f>IF(A155="","",IF(P155=TRUE,0,IFERROR(H155,0)))</f>
        <v/>
      </c>
      <c r="T155" s="16">
        <f>IF(A155="","",IF(P155=TRUE,0,IFERROR(I155,0)))</f>
        <v/>
      </c>
      <c r="U155" s="16">
        <f>IF(A155="","",IF(P155=TRUE,0,IFERROR(J155,0)))</f>
        <v/>
      </c>
      <c r="V155" s="16">
        <f>IF(A155="","",IF(P155=TRUE,0,IFERROR(K155,0)))</f>
        <v/>
      </c>
      <c r="W155" s="16">
        <f>IF(A155="","",IF(P155=TRUE,0,IFERROR(L155,0)))</f>
        <v/>
      </c>
      <c r="X155" s="16">
        <f>IF(A155="","",IF(P155=TRUE,0,IFERROR(H155,0)+IFERROR(I155,0)+IFERROR(L155,0)))</f>
        <v/>
      </c>
      <c r="Y155" s="16">
        <f>IF(A155="",0,IF(G155=TRUE,IFERROR(H155,0)+IFERROR(I155,0)+IFERROR(J155,0)+IFERROR(K155,0)+IFERROR(L155,0),0))</f>
        <v/>
      </c>
      <c r="Z155" s="16">
        <f>IF(A155="",0,IF(AND(O155=TRUE,G155&lt;&gt;TRUE),IFERROR(H155,0)+IFERROR(I155,0)+IFERROR(J155,0)+IFERROR(K155,0)+IFERROR(L155,0),0))</f>
        <v/>
      </c>
    </row>
    <row r="156">
      <c r="A156" s="10" t="n"/>
      <c r="B156" s="10" t="n"/>
      <c r="C156" s="11" t="n"/>
      <c r="D156" s="11" t="n"/>
      <c r="E156" s="10" t="n"/>
      <c r="F156" s="10" t="n"/>
      <c r="G156" s="12" t="n"/>
      <c r="H156" s="13" t="n"/>
      <c r="I156" s="13" t="n"/>
      <c r="J156" s="13" t="n"/>
      <c r="K156" s="13" t="n"/>
      <c r="L156" s="13" t="n"/>
      <c r="M156" s="14">
        <f>IFERROR(IF(A156="","",IFERROR(VLOOKUP(A156,Raw_PriorMonth!A:E,5,FALSE),0)),0)</f>
        <v/>
      </c>
      <c r="N156" s="14">
        <f>IF(A156="","",IFERROR(E156,0)+IFERROR(M156,0))</f>
        <v/>
      </c>
      <c r="O156" s="15">
        <f>IF(A156="","",IF(N156&gt;=28,TRUE,FALSE))</f>
        <v/>
      </c>
      <c r="P156" s="15">
        <f>IF(A156="","",OR(G156=TRUE,O156=TRUE))</f>
        <v/>
      </c>
      <c r="Q156" s="16">
        <f>IF(A156="","",IFERROR(H156,0)+IFERROR(I156,0)+IFERROR(J156,0)+IFERROR(K156,0)+IFERROR(L156,0))</f>
        <v/>
      </c>
      <c r="R156" s="16">
        <f>IF(A156="","",IF(P156=TRUE,0,Q156))</f>
        <v/>
      </c>
      <c r="S156" s="16">
        <f>IF(A156="","",IF(P156=TRUE,0,IFERROR(H156,0)))</f>
        <v/>
      </c>
      <c r="T156" s="16">
        <f>IF(A156="","",IF(P156=TRUE,0,IFERROR(I156,0)))</f>
        <v/>
      </c>
      <c r="U156" s="16">
        <f>IF(A156="","",IF(P156=TRUE,0,IFERROR(J156,0)))</f>
        <v/>
      </c>
      <c r="V156" s="16">
        <f>IF(A156="","",IF(P156=TRUE,0,IFERROR(K156,0)))</f>
        <v/>
      </c>
      <c r="W156" s="16">
        <f>IF(A156="","",IF(P156=TRUE,0,IFERROR(L156,0)))</f>
        <v/>
      </c>
      <c r="X156" s="16">
        <f>IF(A156="","",IF(P156=TRUE,0,IFERROR(H156,0)+IFERROR(I156,0)+IFERROR(L156,0)))</f>
        <v/>
      </c>
      <c r="Y156" s="16">
        <f>IF(A156="",0,IF(G156=TRUE,IFERROR(H156,0)+IFERROR(I156,0)+IFERROR(J156,0)+IFERROR(K156,0)+IFERROR(L156,0),0))</f>
        <v/>
      </c>
      <c r="Z156" s="16">
        <f>IF(A156="",0,IF(AND(O156=TRUE,G156&lt;&gt;TRUE),IFERROR(H156,0)+IFERROR(I156,0)+IFERROR(J156,0)+IFERROR(K156,0)+IFERROR(L156,0),0))</f>
        <v/>
      </c>
    </row>
    <row r="157">
      <c r="A157" s="10" t="n"/>
      <c r="B157" s="10" t="n"/>
      <c r="C157" s="11" t="n"/>
      <c r="D157" s="11" t="n"/>
      <c r="E157" s="10" t="n"/>
      <c r="F157" s="10" t="n"/>
      <c r="G157" s="12" t="n"/>
      <c r="H157" s="13" t="n"/>
      <c r="I157" s="13" t="n"/>
      <c r="J157" s="13" t="n"/>
      <c r="K157" s="13" t="n"/>
      <c r="L157" s="13" t="n"/>
      <c r="M157" s="14">
        <f>IFERROR(IF(A157="","",IFERROR(VLOOKUP(A157,Raw_PriorMonth!A:E,5,FALSE),0)),0)</f>
        <v/>
      </c>
      <c r="N157" s="14">
        <f>IF(A157="","",IFERROR(E157,0)+IFERROR(M157,0))</f>
        <v/>
      </c>
      <c r="O157" s="15">
        <f>IF(A157="","",IF(N157&gt;=28,TRUE,FALSE))</f>
        <v/>
      </c>
      <c r="P157" s="15">
        <f>IF(A157="","",OR(G157=TRUE,O157=TRUE))</f>
        <v/>
      </c>
      <c r="Q157" s="16">
        <f>IF(A157="","",IFERROR(H157,0)+IFERROR(I157,0)+IFERROR(J157,0)+IFERROR(K157,0)+IFERROR(L157,0))</f>
        <v/>
      </c>
      <c r="R157" s="16">
        <f>IF(A157="","",IF(P157=TRUE,0,Q157))</f>
        <v/>
      </c>
      <c r="S157" s="16">
        <f>IF(A157="","",IF(P157=TRUE,0,IFERROR(H157,0)))</f>
        <v/>
      </c>
      <c r="T157" s="16">
        <f>IF(A157="","",IF(P157=TRUE,0,IFERROR(I157,0)))</f>
        <v/>
      </c>
      <c r="U157" s="16">
        <f>IF(A157="","",IF(P157=TRUE,0,IFERROR(J157,0)))</f>
        <v/>
      </c>
      <c r="V157" s="16">
        <f>IF(A157="","",IF(P157=TRUE,0,IFERROR(K157,0)))</f>
        <v/>
      </c>
      <c r="W157" s="16">
        <f>IF(A157="","",IF(P157=TRUE,0,IFERROR(L157,0)))</f>
        <v/>
      </c>
      <c r="X157" s="16">
        <f>IF(A157="","",IF(P157=TRUE,0,IFERROR(H157,0)+IFERROR(I157,0)+IFERROR(L157,0)))</f>
        <v/>
      </c>
      <c r="Y157" s="16">
        <f>IF(A157="",0,IF(G157=TRUE,IFERROR(H157,0)+IFERROR(I157,0)+IFERROR(J157,0)+IFERROR(K157,0)+IFERROR(L157,0),0))</f>
        <v/>
      </c>
      <c r="Z157" s="16">
        <f>IF(A157="",0,IF(AND(O157=TRUE,G157&lt;&gt;TRUE),IFERROR(H157,0)+IFERROR(I157,0)+IFERROR(J157,0)+IFERROR(K157,0)+IFERROR(L157,0),0))</f>
        <v/>
      </c>
    </row>
    <row r="158">
      <c r="A158" s="10" t="n"/>
      <c r="B158" s="10" t="n"/>
      <c r="C158" s="11" t="n"/>
      <c r="D158" s="11" t="n"/>
      <c r="E158" s="10" t="n"/>
      <c r="F158" s="10" t="n"/>
      <c r="G158" s="12" t="n"/>
      <c r="H158" s="13" t="n"/>
      <c r="I158" s="13" t="n"/>
      <c r="J158" s="13" t="n"/>
      <c r="K158" s="13" t="n"/>
      <c r="L158" s="13" t="n"/>
      <c r="M158" s="14">
        <f>IFERROR(IF(A158="","",IFERROR(VLOOKUP(A158,Raw_PriorMonth!A:E,5,FALSE),0)),0)</f>
        <v/>
      </c>
      <c r="N158" s="14">
        <f>IF(A158="","",IFERROR(E158,0)+IFERROR(M158,0))</f>
        <v/>
      </c>
      <c r="O158" s="15">
        <f>IF(A158="","",IF(N158&gt;=28,TRUE,FALSE))</f>
        <v/>
      </c>
      <c r="P158" s="15">
        <f>IF(A158="","",OR(G158=TRUE,O158=TRUE))</f>
        <v/>
      </c>
      <c r="Q158" s="16">
        <f>IF(A158="","",IFERROR(H158,0)+IFERROR(I158,0)+IFERROR(J158,0)+IFERROR(K158,0)+IFERROR(L158,0))</f>
        <v/>
      </c>
      <c r="R158" s="16">
        <f>IF(A158="","",IF(P158=TRUE,0,Q158))</f>
        <v/>
      </c>
      <c r="S158" s="16">
        <f>IF(A158="","",IF(P158=TRUE,0,IFERROR(H158,0)))</f>
        <v/>
      </c>
      <c r="T158" s="16">
        <f>IF(A158="","",IF(P158=TRUE,0,IFERROR(I158,0)))</f>
        <v/>
      </c>
      <c r="U158" s="16">
        <f>IF(A158="","",IF(P158=TRUE,0,IFERROR(J158,0)))</f>
        <v/>
      </c>
      <c r="V158" s="16">
        <f>IF(A158="","",IF(P158=TRUE,0,IFERROR(K158,0)))</f>
        <v/>
      </c>
      <c r="W158" s="16">
        <f>IF(A158="","",IF(P158=TRUE,0,IFERROR(L158,0)))</f>
        <v/>
      </c>
      <c r="X158" s="16">
        <f>IF(A158="","",IF(P158=TRUE,0,IFERROR(H158,0)+IFERROR(I158,0)+IFERROR(L158,0)))</f>
        <v/>
      </c>
      <c r="Y158" s="16">
        <f>IF(A158="",0,IF(G158=TRUE,IFERROR(H158,0)+IFERROR(I158,0)+IFERROR(J158,0)+IFERROR(K158,0)+IFERROR(L158,0),0))</f>
        <v/>
      </c>
      <c r="Z158" s="16">
        <f>IF(A158="",0,IF(AND(O158=TRUE,G158&lt;&gt;TRUE),IFERROR(H158,0)+IFERROR(I158,0)+IFERROR(J158,0)+IFERROR(K158,0)+IFERROR(L158,0),0))</f>
        <v/>
      </c>
    </row>
    <row r="159">
      <c r="A159" s="10" t="n"/>
      <c r="B159" s="10" t="n"/>
      <c r="C159" s="11" t="n"/>
      <c r="D159" s="11" t="n"/>
      <c r="E159" s="10" t="n"/>
      <c r="F159" s="10" t="n"/>
      <c r="G159" s="12" t="n"/>
      <c r="H159" s="13" t="n"/>
      <c r="I159" s="13" t="n"/>
      <c r="J159" s="13" t="n"/>
      <c r="K159" s="13" t="n"/>
      <c r="L159" s="13" t="n"/>
      <c r="M159" s="14">
        <f>IFERROR(IF(A159="","",IFERROR(VLOOKUP(A159,Raw_PriorMonth!A:E,5,FALSE),0)),0)</f>
        <v/>
      </c>
      <c r="N159" s="14">
        <f>IF(A159="","",IFERROR(E159,0)+IFERROR(M159,0))</f>
        <v/>
      </c>
      <c r="O159" s="15">
        <f>IF(A159="","",IF(N159&gt;=28,TRUE,FALSE))</f>
        <v/>
      </c>
      <c r="P159" s="15">
        <f>IF(A159="","",OR(G159=TRUE,O159=TRUE))</f>
        <v/>
      </c>
      <c r="Q159" s="16">
        <f>IF(A159="","",IFERROR(H159,0)+IFERROR(I159,0)+IFERROR(J159,0)+IFERROR(K159,0)+IFERROR(L159,0))</f>
        <v/>
      </c>
      <c r="R159" s="16">
        <f>IF(A159="","",IF(P159=TRUE,0,Q159))</f>
        <v/>
      </c>
      <c r="S159" s="16">
        <f>IF(A159="","",IF(P159=TRUE,0,IFERROR(H159,0)))</f>
        <v/>
      </c>
      <c r="T159" s="16">
        <f>IF(A159="","",IF(P159=TRUE,0,IFERROR(I159,0)))</f>
        <v/>
      </c>
      <c r="U159" s="16">
        <f>IF(A159="","",IF(P159=TRUE,0,IFERROR(J159,0)))</f>
        <v/>
      </c>
      <c r="V159" s="16">
        <f>IF(A159="","",IF(P159=TRUE,0,IFERROR(K159,0)))</f>
        <v/>
      </c>
      <c r="W159" s="16">
        <f>IF(A159="","",IF(P159=TRUE,0,IFERROR(L159,0)))</f>
        <v/>
      </c>
      <c r="X159" s="16">
        <f>IF(A159="","",IF(P159=TRUE,0,IFERROR(H159,0)+IFERROR(I159,0)+IFERROR(L159,0)))</f>
        <v/>
      </c>
      <c r="Y159" s="16">
        <f>IF(A159="",0,IF(G159=TRUE,IFERROR(H159,0)+IFERROR(I159,0)+IFERROR(J159,0)+IFERROR(K159,0)+IFERROR(L159,0),0))</f>
        <v/>
      </c>
      <c r="Z159" s="16">
        <f>IF(A159="",0,IF(AND(O159=TRUE,G159&lt;&gt;TRUE),IFERROR(H159,0)+IFERROR(I159,0)+IFERROR(J159,0)+IFERROR(K159,0)+IFERROR(L159,0),0))</f>
        <v/>
      </c>
    </row>
    <row r="160">
      <c r="A160" s="10" t="n"/>
      <c r="B160" s="10" t="n"/>
      <c r="C160" s="11" t="n"/>
      <c r="D160" s="11" t="n"/>
      <c r="E160" s="10" t="n"/>
      <c r="F160" s="10" t="n"/>
      <c r="G160" s="12" t="n"/>
      <c r="H160" s="13" t="n"/>
      <c r="I160" s="13" t="n"/>
      <c r="J160" s="13" t="n"/>
      <c r="K160" s="13" t="n"/>
      <c r="L160" s="13" t="n"/>
      <c r="M160" s="14">
        <f>IFERROR(IF(A160="","",IFERROR(VLOOKUP(A160,Raw_PriorMonth!A:E,5,FALSE),0)),0)</f>
        <v/>
      </c>
      <c r="N160" s="14">
        <f>IF(A160="","",IFERROR(E160,0)+IFERROR(M160,0))</f>
        <v/>
      </c>
      <c r="O160" s="15">
        <f>IF(A160="","",IF(N160&gt;=28,TRUE,FALSE))</f>
        <v/>
      </c>
      <c r="P160" s="15">
        <f>IF(A160="","",OR(G160=TRUE,O160=TRUE))</f>
        <v/>
      </c>
      <c r="Q160" s="16">
        <f>IF(A160="","",IFERROR(H160,0)+IFERROR(I160,0)+IFERROR(J160,0)+IFERROR(K160,0)+IFERROR(L160,0))</f>
        <v/>
      </c>
      <c r="R160" s="16">
        <f>IF(A160="","",IF(P160=TRUE,0,Q160))</f>
        <v/>
      </c>
      <c r="S160" s="16">
        <f>IF(A160="","",IF(P160=TRUE,0,IFERROR(H160,0)))</f>
        <v/>
      </c>
      <c r="T160" s="16">
        <f>IF(A160="","",IF(P160=TRUE,0,IFERROR(I160,0)))</f>
        <v/>
      </c>
      <c r="U160" s="16">
        <f>IF(A160="","",IF(P160=TRUE,0,IFERROR(J160,0)))</f>
        <v/>
      </c>
      <c r="V160" s="16">
        <f>IF(A160="","",IF(P160=TRUE,0,IFERROR(K160,0)))</f>
        <v/>
      </c>
      <c r="W160" s="16">
        <f>IF(A160="","",IF(P160=TRUE,0,IFERROR(L160,0)))</f>
        <v/>
      </c>
      <c r="X160" s="16">
        <f>IF(A160="","",IF(P160=TRUE,0,IFERROR(H160,0)+IFERROR(I160,0)+IFERROR(L160,0)))</f>
        <v/>
      </c>
      <c r="Y160" s="16">
        <f>IF(A160="",0,IF(G160=TRUE,IFERROR(H160,0)+IFERROR(I160,0)+IFERROR(J160,0)+IFERROR(K160,0)+IFERROR(L160,0),0))</f>
        <v/>
      </c>
      <c r="Z160" s="16">
        <f>IF(A160="",0,IF(AND(O160=TRUE,G160&lt;&gt;TRUE),IFERROR(H160,0)+IFERROR(I160,0)+IFERROR(J160,0)+IFERROR(K160,0)+IFERROR(L160,0),0))</f>
        <v/>
      </c>
    </row>
    <row r="161">
      <c r="A161" s="10" t="n"/>
      <c r="B161" s="10" t="n"/>
      <c r="C161" s="11" t="n"/>
      <c r="D161" s="11" t="n"/>
      <c r="E161" s="10" t="n"/>
      <c r="F161" s="10" t="n"/>
      <c r="G161" s="12" t="n"/>
      <c r="H161" s="13" t="n"/>
      <c r="I161" s="13" t="n"/>
      <c r="J161" s="13" t="n"/>
      <c r="K161" s="13" t="n"/>
      <c r="L161" s="13" t="n"/>
      <c r="M161" s="14">
        <f>IFERROR(IF(A161="","",IFERROR(VLOOKUP(A161,Raw_PriorMonth!A:E,5,FALSE),0)),0)</f>
        <v/>
      </c>
      <c r="N161" s="14">
        <f>IF(A161="","",IFERROR(E161,0)+IFERROR(M161,0))</f>
        <v/>
      </c>
      <c r="O161" s="15">
        <f>IF(A161="","",IF(N161&gt;=28,TRUE,FALSE))</f>
        <v/>
      </c>
      <c r="P161" s="15">
        <f>IF(A161="","",OR(G161=TRUE,O161=TRUE))</f>
        <v/>
      </c>
      <c r="Q161" s="16">
        <f>IF(A161="","",IFERROR(H161,0)+IFERROR(I161,0)+IFERROR(J161,0)+IFERROR(K161,0)+IFERROR(L161,0))</f>
        <v/>
      </c>
      <c r="R161" s="16">
        <f>IF(A161="","",IF(P161=TRUE,0,Q161))</f>
        <v/>
      </c>
      <c r="S161" s="16">
        <f>IF(A161="","",IF(P161=TRUE,0,IFERROR(H161,0)))</f>
        <v/>
      </c>
      <c r="T161" s="16">
        <f>IF(A161="","",IF(P161=TRUE,0,IFERROR(I161,0)))</f>
        <v/>
      </c>
      <c r="U161" s="16">
        <f>IF(A161="","",IF(P161=TRUE,0,IFERROR(J161,0)))</f>
        <v/>
      </c>
      <c r="V161" s="16">
        <f>IF(A161="","",IF(P161=TRUE,0,IFERROR(K161,0)))</f>
        <v/>
      </c>
      <c r="W161" s="16">
        <f>IF(A161="","",IF(P161=TRUE,0,IFERROR(L161,0)))</f>
        <v/>
      </c>
      <c r="X161" s="16">
        <f>IF(A161="","",IF(P161=TRUE,0,IFERROR(H161,0)+IFERROR(I161,0)+IFERROR(L161,0)))</f>
        <v/>
      </c>
      <c r="Y161" s="16">
        <f>IF(A161="",0,IF(G161=TRUE,IFERROR(H161,0)+IFERROR(I161,0)+IFERROR(J161,0)+IFERROR(K161,0)+IFERROR(L161,0),0))</f>
        <v/>
      </c>
      <c r="Z161" s="16">
        <f>IF(A161="",0,IF(AND(O161=TRUE,G161&lt;&gt;TRUE),IFERROR(H161,0)+IFERROR(I161,0)+IFERROR(J161,0)+IFERROR(K161,0)+IFERROR(L161,0),0))</f>
        <v/>
      </c>
    </row>
    <row r="162">
      <c r="A162" s="10" t="n"/>
      <c r="B162" s="10" t="n"/>
      <c r="C162" s="11" t="n"/>
      <c r="D162" s="11" t="n"/>
      <c r="E162" s="10" t="n"/>
      <c r="F162" s="10" t="n"/>
      <c r="G162" s="12" t="n"/>
      <c r="H162" s="13" t="n"/>
      <c r="I162" s="13" t="n"/>
      <c r="J162" s="13" t="n"/>
      <c r="K162" s="13" t="n"/>
      <c r="L162" s="13" t="n"/>
      <c r="M162" s="14">
        <f>IFERROR(IF(A162="","",IFERROR(VLOOKUP(A162,Raw_PriorMonth!A:E,5,FALSE),0)),0)</f>
        <v/>
      </c>
      <c r="N162" s="14">
        <f>IF(A162="","",IFERROR(E162,0)+IFERROR(M162,0))</f>
        <v/>
      </c>
      <c r="O162" s="15">
        <f>IF(A162="","",IF(N162&gt;=28,TRUE,FALSE))</f>
        <v/>
      </c>
      <c r="P162" s="15">
        <f>IF(A162="","",OR(G162=TRUE,O162=TRUE))</f>
        <v/>
      </c>
      <c r="Q162" s="16">
        <f>IF(A162="","",IFERROR(H162,0)+IFERROR(I162,0)+IFERROR(J162,0)+IFERROR(K162,0)+IFERROR(L162,0))</f>
        <v/>
      </c>
      <c r="R162" s="16">
        <f>IF(A162="","",IF(P162=TRUE,0,Q162))</f>
        <v/>
      </c>
      <c r="S162" s="16">
        <f>IF(A162="","",IF(P162=TRUE,0,IFERROR(H162,0)))</f>
        <v/>
      </c>
      <c r="T162" s="16">
        <f>IF(A162="","",IF(P162=TRUE,0,IFERROR(I162,0)))</f>
        <v/>
      </c>
      <c r="U162" s="16">
        <f>IF(A162="","",IF(P162=TRUE,0,IFERROR(J162,0)))</f>
        <v/>
      </c>
      <c r="V162" s="16">
        <f>IF(A162="","",IF(P162=TRUE,0,IFERROR(K162,0)))</f>
        <v/>
      </c>
      <c r="W162" s="16">
        <f>IF(A162="","",IF(P162=TRUE,0,IFERROR(L162,0)))</f>
        <v/>
      </c>
      <c r="X162" s="16">
        <f>IF(A162="","",IF(P162=TRUE,0,IFERROR(H162,0)+IFERROR(I162,0)+IFERROR(L162,0)))</f>
        <v/>
      </c>
      <c r="Y162" s="16">
        <f>IF(A162="",0,IF(G162=TRUE,IFERROR(H162,0)+IFERROR(I162,0)+IFERROR(J162,0)+IFERROR(K162,0)+IFERROR(L162,0),0))</f>
        <v/>
      </c>
      <c r="Z162" s="16">
        <f>IF(A162="",0,IF(AND(O162=TRUE,G162&lt;&gt;TRUE),IFERROR(H162,0)+IFERROR(I162,0)+IFERROR(J162,0)+IFERROR(K162,0)+IFERROR(L162,0),0))</f>
        <v/>
      </c>
    </row>
    <row r="163">
      <c r="A163" s="10" t="n"/>
      <c r="B163" s="10" t="n"/>
      <c r="C163" s="11" t="n"/>
      <c r="D163" s="11" t="n"/>
      <c r="E163" s="10" t="n"/>
      <c r="F163" s="10" t="n"/>
      <c r="G163" s="12" t="n"/>
      <c r="H163" s="13" t="n"/>
      <c r="I163" s="13" t="n"/>
      <c r="J163" s="13" t="n"/>
      <c r="K163" s="13" t="n"/>
      <c r="L163" s="13" t="n"/>
      <c r="M163" s="14">
        <f>IFERROR(IF(A163="","",IFERROR(VLOOKUP(A163,Raw_PriorMonth!A:E,5,FALSE),0)),0)</f>
        <v/>
      </c>
      <c r="N163" s="14">
        <f>IF(A163="","",IFERROR(E163,0)+IFERROR(M163,0))</f>
        <v/>
      </c>
      <c r="O163" s="15">
        <f>IF(A163="","",IF(N163&gt;=28,TRUE,FALSE))</f>
        <v/>
      </c>
      <c r="P163" s="15">
        <f>IF(A163="","",OR(G163=TRUE,O163=TRUE))</f>
        <v/>
      </c>
      <c r="Q163" s="16">
        <f>IF(A163="","",IFERROR(H163,0)+IFERROR(I163,0)+IFERROR(J163,0)+IFERROR(K163,0)+IFERROR(L163,0))</f>
        <v/>
      </c>
      <c r="R163" s="16">
        <f>IF(A163="","",IF(P163=TRUE,0,Q163))</f>
        <v/>
      </c>
      <c r="S163" s="16">
        <f>IF(A163="","",IF(P163=TRUE,0,IFERROR(H163,0)))</f>
        <v/>
      </c>
      <c r="T163" s="16">
        <f>IF(A163="","",IF(P163=TRUE,0,IFERROR(I163,0)))</f>
        <v/>
      </c>
      <c r="U163" s="16">
        <f>IF(A163="","",IF(P163=TRUE,0,IFERROR(J163,0)))</f>
        <v/>
      </c>
      <c r="V163" s="16">
        <f>IF(A163="","",IF(P163=TRUE,0,IFERROR(K163,0)))</f>
        <v/>
      </c>
      <c r="W163" s="16">
        <f>IF(A163="","",IF(P163=TRUE,0,IFERROR(L163,0)))</f>
        <v/>
      </c>
      <c r="X163" s="16">
        <f>IF(A163="","",IF(P163=TRUE,0,IFERROR(H163,0)+IFERROR(I163,0)+IFERROR(L163,0)))</f>
        <v/>
      </c>
      <c r="Y163" s="16">
        <f>IF(A163="",0,IF(G163=TRUE,IFERROR(H163,0)+IFERROR(I163,0)+IFERROR(J163,0)+IFERROR(K163,0)+IFERROR(L163,0),0))</f>
        <v/>
      </c>
      <c r="Z163" s="16">
        <f>IF(A163="",0,IF(AND(O163=TRUE,G163&lt;&gt;TRUE),IFERROR(H163,0)+IFERROR(I163,0)+IFERROR(J163,0)+IFERROR(K163,0)+IFERROR(L163,0),0))</f>
        <v/>
      </c>
    </row>
    <row r="164">
      <c r="A164" s="10" t="n"/>
      <c r="B164" s="10" t="n"/>
      <c r="C164" s="11" t="n"/>
      <c r="D164" s="11" t="n"/>
      <c r="E164" s="10" t="n"/>
      <c r="F164" s="10" t="n"/>
      <c r="G164" s="12" t="n"/>
      <c r="H164" s="13" t="n"/>
      <c r="I164" s="13" t="n"/>
      <c r="J164" s="13" t="n"/>
      <c r="K164" s="13" t="n"/>
      <c r="L164" s="13" t="n"/>
      <c r="M164" s="14">
        <f>IFERROR(IF(A164="","",IFERROR(VLOOKUP(A164,Raw_PriorMonth!A:E,5,FALSE),0)),0)</f>
        <v/>
      </c>
      <c r="N164" s="14">
        <f>IF(A164="","",IFERROR(E164,0)+IFERROR(M164,0))</f>
        <v/>
      </c>
      <c r="O164" s="15">
        <f>IF(A164="","",IF(N164&gt;=28,TRUE,FALSE))</f>
        <v/>
      </c>
      <c r="P164" s="15">
        <f>IF(A164="","",OR(G164=TRUE,O164=TRUE))</f>
        <v/>
      </c>
      <c r="Q164" s="16">
        <f>IF(A164="","",IFERROR(H164,0)+IFERROR(I164,0)+IFERROR(J164,0)+IFERROR(K164,0)+IFERROR(L164,0))</f>
        <v/>
      </c>
      <c r="R164" s="16">
        <f>IF(A164="","",IF(P164=TRUE,0,Q164))</f>
        <v/>
      </c>
      <c r="S164" s="16">
        <f>IF(A164="","",IF(P164=TRUE,0,IFERROR(H164,0)))</f>
        <v/>
      </c>
      <c r="T164" s="16">
        <f>IF(A164="","",IF(P164=TRUE,0,IFERROR(I164,0)))</f>
        <v/>
      </c>
      <c r="U164" s="16">
        <f>IF(A164="","",IF(P164=TRUE,0,IFERROR(J164,0)))</f>
        <v/>
      </c>
      <c r="V164" s="16">
        <f>IF(A164="","",IF(P164=TRUE,0,IFERROR(K164,0)))</f>
        <v/>
      </c>
      <c r="W164" s="16">
        <f>IF(A164="","",IF(P164=TRUE,0,IFERROR(L164,0)))</f>
        <v/>
      </c>
      <c r="X164" s="16">
        <f>IF(A164="","",IF(P164=TRUE,0,IFERROR(H164,0)+IFERROR(I164,0)+IFERROR(L164,0)))</f>
        <v/>
      </c>
      <c r="Y164" s="16">
        <f>IF(A164="",0,IF(G164=TRUE,IFERROR(H164,0)+IFERROR(I164,0)+IFERROR(J164,0)+IFERROR(K164,0)+IFERROR(L164,0),0))</f>
        <v/>
      </c>
      <c r="Z164" s="16">
        <f>IF(A164="",0,IF(AND(O164=TRUE,G164&lt;&gt;TRUE),IFERROR(H164,0)+IFERROR(I164,0)+IFERROR(J164,0)+IFERROR(K164,0)+IFERROR(L164,0),0))</f>
        <v/>
      </c>
    </row>
    <row r="165">
      <c r="A165" s="10" t="n"/>
      <c r="B165" s="10" t="n"/>
      <c r="C165" s="11" t="n"/>
      <c r="D165" s="11" t="n"/>
      <c r="E165" s="10" t="n"/>
      <c r="F165" s="10" t="n"/>
      <c r="G165" s="12" t="n"/>
      <c r="H165" s="13" t="n"/>
      <c r="I165" s="13" t="n"/>
      <c r="J165" s="13" t="n"/>
      <c r="K165" s="13" t="n"/>
      <c r="L165" s="13" t="n"/>
      <c r="M165" s="14">
        <f>IFERROR(IF(A165="","",IFERROR(VLOOKUP(A165,Raw_PriorMonth!A:E,5,FALSE),0)),0)</f>
        <v/>
      </c>
      <c r="N165" s="14">
        <f>IF(A165="","",IFERROR(E165,0)+IFERROR(M165,0))</f>
        <v/>
      </c>
      <c r="O165" s="15">
        <f>IF(A165="","",IF(N165&gt;=28,TRUE,FALSE))</f>
        <v/>
      </c>
      <c r="P165" s="15">
        <f>IF(A165="","",OR(G165=TRUE,O165=TRUE))</f>
        <v/>
      </c>
      <c r="Q165" s="16">
        <f>IF(A165="","",IFERROR(H165,0)+IFERROR(I165,0)+IFERROR(J165,0)+IFERROR(K165,0)+IFERROR(L165,0))</f>
        <v/>
      </c>
      <c r="R165" s="16">
        <f>IF(A165="","",IF(P165=TRUE,0,Q165))</f>
        <v/>
      </c>
      <c r="S165" s="16">
        <f>IF(A165="","",IF(P165=TRUE,0,IFERROR(H165,0)))</f>
        <v/>
      </c>
      <c r="T165" s="16">
        <f>IF(A165="","",IF(P165=TRUE,0,IFERROR(I165,0)))</f>
        <v/>
      </c>
      <c r="U165" s="16">
        <f>IF(A165="","",IF(P165=TRUE,0,IFERROR(J165,0)))</f>
        <v/>
      </c>
      <c r="V165" s="16">
        <f>IF(A165="","",IF(P165=TRUE,0,IFERROR(K165,0)))</f>
        <v/>
      </c>
      <c r="W165" s="16">
        <f>IF(A165="","",IF(P165=TRUE,0,IFERROR(L165,0)))</f>
        <v/>
      </c>
      <c r="X165" s="16">
        <f>IF(A165="","",IF(P165=TRUE,0,IFERROR(H165,0)+IFERROR(I165,0)+IFERROR(L165,0)))</f>
        <v/>
      </c>
      <c r="Y165" s="16">
        <f>IF(A165="",0,IF(G165=TRUE,IFERROR(H165,0)+IFERROR(I165,0)+IFERROR(J165,0)+IFERROR(K165,0)+IFERROR(L165,0),0))</f>
        <v/>
      </c>
      <c r="Z165" s="16">
        <f>IF(A165="",0,IF(AND(O165=TRUE,G165&lt;&gt;TRUE),IFERROR(H165,0)+IFERROR(I165,0)+IFERROR(J165,0)+IFERROR(K165,0)+IFERROR(L165,0),0))</f>
        <v/>
      </c>
    </row>
    <row r="166">
      <c r="A166" s="10" t="n"/>
      <c r="B166" s="10" t="n"/>
      <c r="C166" s="11" t="n"/>
      <c r="D166" s="11" t="n"/>
      <c r="E166" s="10" t="n"/>
      <c r="F166" s="10" t="n"/>
      <c r="G166" s="12" t="n"/>
      <c r="H166" s="13" t="n"/>
      <c r="I166" s="13" t="n"/>
      <c r="J166" s="13" t="n"/>
      <c r="K166" s="13" t="n"/>
      <c r="L166" s="13" t="n"/>
      <c r="M166" s="14">
        <f>IFERROR(IF(A166="","",IFERROR(VLOOKUP(A166,Raw_PriorMonth!A:E,5,FALSE),0)),0)</f>
        <v/>
      </c>
      <c r="N166" s="14">
        <f>IF(A166="","",IFERROR(E166,0)+IFERROR(M166,0))</f>
        <v/>
      </c>
      <c r="O166" s="15">
        <f>IF(A166="","",IF(N166&gt;=28,TRUE,FALSE))</f>
        <v/>
      </c>
      <c r="P166" s="15">
        <f>IF(A166="","",OR(G166=TRUE,O166=TRUE))</f>
        <v/>
      </c>
      <c r="Q166" s="16">
        <f>IF(A166="","",IFERROR(H166,0)+IFERROR(I166,0)+IFERROR(J166,0)+IFERROR(K166,0)+IFERROR(L166,0))</f>
        <v/>
      </c>
      <c r="R166" s="16">
        <f>IF(A166="","",IF(P166=TRUE,0,Q166))</f>
        <v/>
      </c>
      <c r="S166" s="16">
        <f>IF(A166="","",IF(P166=TRUE,0,IFERROR(H166,0)))</f>
        <v/>
      </c>
      <c r="T166" s="16">
        <f>IF(A166="","",IF(P166=TRUE,0,IFERROR(I166,0)))</f>
        <v/>
      </c>
      <c r="U166" s="16">
        <f>IF(A166="","",IF(P166=TRUE,0,IFERROR(J166,0)))</f>
        <v/>
      </c>
      <c r="V166" s="16">
        <f>IF(A166="","",IF(P166=TRUE,0,IFERROR(K166,0)))</f>
        <v/>
      </c>
      <c r="W166" s="16">
        <f>IF(A166="","",IF(P166=TRUE,0,IFERROR(L166,0)))</f>
        <v/>
      </c>
      <c r="X166" s="16">
        <f>IF(A166="","",IF(P166=TRUE,0,IFERROR(H166,0)+IFERROR(I166,0)+IFERROR(L166,0)))</f>
        <v/>
      </c>
      <c r="Y166" s="16">
        <f>IF(A166="",0,IF(G166=TRUE,IFERROR(H166,0)+IFERROR(I166,0)+IFERROR(J166,0)+IFERROR(K166,0)+IFERROR(L166,0),0))</f>
        <v/>
      </c>
      <c r="Z166" s="16">
        <f>IF(A166="",0,IF(AND(O166=TRUE,G166&lt;&gt;TRUE),IFERROR(H166,0)+IFERROR(I166,0)+IFERROR(J166,0)+IFERROR(K166,0)+IFERROR(L166,0),0))</f>
        <v/>
      </c>
    </row>
    <row r="167">
      <c r="A167" s="10" t="n"/>
      <c r="B167" s="10" t="n"/>
      <c r="C167" s="11" t="n"/>
      <c r="D167" s="11" t="n"/>
      <c r="E167" s="10" t="n"/>
      <c r="F167" s="10" t="n"/>
      <c r="G167" s="12" t="n"/>
      <c r="H167" s="13" t="n"/>
      <c r="I167" s="13" t="n"/>
      <c r="J167" s="13" t="n"/>
      <c r="K167" s="13" t="n"/>
      <c r="L167" s="13" t="n"/>
      <c r="M167" s="14">
        <f>IFERROR(IF(A167="","",IFERROR(VLOOKUP(A167,Raw_PriorMonth!A:E,5,FALSE),0)),0)</f>
        <v/>
      </c>
      <c r="N167" s="14">
        <f>IF(A167="","",IFERROR(E167,0)+IFERROR(M167,0))</f>
        <v/>
      </c>
      <c r="O167" s="15">
        <f>IF(A167="","",IF(N167&gt;=28,TRUE,FALSE))</f>
        <v/>
      </c>
      <c r="P167" s="15">
        <f>IF(A167="","",OR(G167=TRUE,O167=TRUE))</f>
        <v/>
      </c>
      <c r="Q167" s="16">
        <f>IF(A167="","",IFERROR(H167,0)+IFERROR(I167,0)+IFERROR(J167,0)+IFERROR(K167,0)+IFERROR(L167,0))</f>
        <v/>
      </c>
      <c r="R167" s="16">
        <f>IF(A167="","",IF(P167=TRUE,0,Q167))</f>
        <v/>
      </c>
      <c r="S167" s="16">
        <f>IF(A167="","",IF(P167=TRUE,0,IFERROR(H167,0)))</f>
        <v/>
      </c>
      <c r="T167" s="16">
        <f>IF(A167="","",IF(P167=TRUE,0,IFERROR(I167,0)))</f>
        <v/>
      </c>
      <c r="U167" s="16">
        <f>IF(A167="","",IF(P167=TRUE,0,IFERROR(J167,0)))</f>
        <v/>
      </c>
      <c r="V167" s="16">
        <f>IF(A167="","",IF(P167=TRUE,0,IFERROR(K167,0)))</f>
        <v/>
      </c>
      <c r="W167" s="16">
        <f>IF(A167="","",IF(P167=TRUE,0,IFERROR(L167,0)))</f>
        <v/>
      </c>
      <c r="X167" s="16">
        <f>IF(A167="","",IF(P167=TRUE,0,IFERROR(H167,0)+IFERROR(I167,0)+IFERROR(L167,0)))</f>
        <v/>
      </c>
      <c r="Y167" s="16">
        <f>IF(A167="",0,IF(G167=TRUE,IFERROR(H167,0)+IFERROR(I167,0)+IFERROR(J167,0)+IFERROR(K167,0)+IFERROR(L167,0),0))</f>
        <v/>
      </c>
      <c r="Z167" s="16">
        <f>IF(A167="",0,IF(AND(O167=TRUE,G167&lt;&gt;TRUE),IFERROR(H167,0)+IFERROR(I167,0)+IFERROR(J167,0)+IFERROR(K167,0)+IFERROR(L167,0),0))</f>
        <v/>
      </c>
    </row>
    <row r="168">
      <c r="A168" s="10" t="n"/>
      <c r="B168" s="10" t="n"/>
      <c r="C168" s="11" t="n"/>
      <c r="D168" s="11" t="n"/>
      <c r="E168" s="10" t="n"/>
      <c r="F168" s="10" t="n"/>
      <c r="G168" s="12" t="n"/>
      <c r="H168" s="13" t="n"/>
      <c r="I168" s="13" t="n"/>
      <c r="J168" s="13" t="n"/>
      <c r="K168" s="13" t="n"/>
      <c r="L168" s="13" t="n"/>
      <c r="M168" s="14">
        <f>IFERROR(IF(A168="","",IFERROR(VLOOKUP(A168,Raw_PriorMonth!A:E,5,FALSE),0)),0)</f>
        <v/>
      </c>
      <c r="N168" s="14">
        <f>IF(A168="","",IFERROR(E168,0)+IFERROR(M168,0))</f>
        <v/>
      </c>
      <c r="O168" s="15">
        <f>IF(A168="","",IF(N168&gt;=28,TRUE,FALSE))</f>
        <v/>
      </c>
      <c r="P168" s="15">
        <f>IF(A168="","",OR(G168=TRUE,O168=TRUE))</f>
        <v/>
      </c>
      <c r="Q168" s="16">
        <f>IF(A168="","",IFERROR(H168,0)+IFERROR(I168,0)+IFERROR(J168,0)+IFERROR(K168,0)+IFERROR(L168,0))</f>
        <v/>
      </c>
      <c r="R168" s="16">
        <f>IF(A168="","",IF(P168=TRUE,0,Q168))</f>
        <v/>
      </c>
      <c r="S168" s="16">
        <f>IF(A168="","",IF(P168=TRUE,0,IFERROR(H168,0)))</f>
        <v/>
      </c>
      <c r="T168" s="16">
        <f>IF(A168="","",IF(P168=TRUE,0,IFERROR(I168,0)))</f>
        <v/>
      </c>
      <c r="U168" s="16">
        <f>IF(A168="","",IF(P168=TRUE,0,IFERROR(J168,0)))</f>
        <v/>
      </c>
      <c r="V168" s="16">
        <f>IF(A168="","",IF(P168=TRUE,0,IFERROR(K168,0)))</f>
        <v/>
      </c>
      <c r="W168" s="16">
        <f>IF(A168="","",IF(P168=TRUE,0,IFERROR(L168,0)))</f>
        <v/>
      </c>
      <c r="X168" s="16">
        <f>IF(A168="","",IF(P168=TRUE,0,IFERROR(H168,0)+IFERROR(I168,0)+IFERROR(L168,0)))</f>
        <v/>
      </c>
      <c r="Y168" s="16">
        <f>IF(A168="",0,IF(G168=TRUE,IFERROR(H168,0)+IFERROR(I168,0)+IFERROR(J168,0)+IFERROR(K168,0)+IFERROR(L168,0),0))</f>
        <v/>
      </c>
      <c r="Z168" s="16">
        <f>IF(A168="",0,IF(AND(O168=TRUE,G168&lt;&gt;TRUE),IFERROR(H168,0)+IFERROR(I168,0)+IFERROR(J168,0)+IFERROR(K168,0)+IFERROR(L168,0),0))</f>
        <v/>
      </c>
    </row>
    <row r="169">
      <c r="A169" s="10" t="n"/>
      <c r="B169" s="10" t="n"/>
      <c r="C169" s="11" t="n"/>
      <c r="D169" s="11" t="n"/>
      <c r="E169" s="10" t="n"/>
      <c r="F169" s="10" t="n"/>
      <c r="G169" s="12" t="n"/>
      <c r="H169" s="13" t="n"/>
      <c r="I169" s="13" t="n"/>
      <c r="J169" s="13" t="n"/>
      <c r="K169" s="13" t="n"/>
      <c r="L169" s="13" t="n"/>
      <c r="M169" s="14">
        <f>IFERROR(IF(A169="","",IFERROR(VLOOKUP(A169,Raw_PriorMonth!A:E,5,FALSE),0)),0)</f>
        <v/>
      </c>
      <c r="N169" s="14">
        <f>IF(A169="","",IFERROR(E169,0)+IFERROR(M169,0))</f>
        <v/>
      </c>
      <c r="O169" s="15">
        <f>IF(A169="","",IF(N169&gt;=28,TRUE,FALSE))</f>
        <v/>
      </c>
      <c r="P169" s="15">
        <f>IF(A169="","",OR(G169=TRUE,O169=TRUE))</f>
        <v/>
      </c>
      <c r="Q169" s="16">
        <f>IF(A169="","",IFERROR(H169,0)+IFERROR(I169,0)+IFERROR(J169,0)+IFERROR(K169,0)+IFERROR(L169,0))</f>
        <v/>
      </c>
      <c r="R169" s="16">
        <f>IF(A169="","",IF(P169=TRUE,0,Q169))</f>
        <v/>
      </c>
      <c r="S169" s="16">
        <f>IF(A169="","",IF(P169=TRUE,0,IFERROR(H169,0)))</f>
        <v/>
      </c>
      <c r="T169" s="16">
        <f>IF(A169="","",IF(P169=TRUE,0,IFERROR(I169,0)))</f>
        <v/>
      </c>
      <c r="U169" s="16">
        <f>IF(A169="","",IF(P169=TRUE,0,IFERROR(J169,0)))</f>
        <v/>
      </c>
      <c r="V169" s="16">
        <f>IF(A169="","",IF(P169=TRUE,0,IFERROR(K169,0)))</f>
        <v/>
      </c>
      <c r="W169" s="16">
        <f>IF(A169="","",IF(P169=TRUE,0,IFERROR(L169,0)))</f>
        <v/>
      </c>
      <c r="X169" s="16">
        <f>IF(A169="","",IF(P169=TRUE,0,IFERROR(H169,0)+IFERROR(I169,0)+IFERROR(L169,0)))</f>
        <v/>
      </c>
      <c r="Y169" s="16">
        <f>IF(A169="",0,IF(G169=TRUE,IFERROR(H169,0)+IFERROR(I169,0)+IFERROR(J169,0)+IFERROR(K169,0)+IFERROR(L169,0),0))</f>
        <v/>
      </c>
      <c r="Z169" s="16">
        <f>IF(A169="",0,IF(AND(O169=TRUE,G169&lt;&gt;TRUE),IFERROR(H169,0)+IFERROR(I169,0)+IFERROR(J169,0)+IFERROR(K169,0)+IFERROR(L169,0),0))</f>
        <v/>
      </c>
    </row>
    <row r="170">
      <c r="A170" s="10" t="n"/>
      <c r="B170" s="10" t="n"/>
      <c r="C170" s="11" t="n"/>
      <c r="D170" s="11" t="n"/>
      <c r="E170" s="10" t="n"/>
      <c r="F170" s="10" t="n"/>
      <c r="G170" s="12" t="n"/>
      <c r="H170" s="13" t="n"/>
      <c r="I170" s="13" t="n"/>
      <c r="J170" s="13" t="n"/>
      <c r="K170" s="13" t="n"/>
      <c r="L170" s="13" t="n"/>
      <c r="M170" s="14">
        <f>IFERROR(IF(A170="","",IFERROR(VLOOKUP(A170,Raw_PriorMonth!A:E,5,FALSE),0)),0)</f>
        <v/>
      </c>
      <c r="N170" s="14">
        <f>IF(A170="","",IFERROR(E170,0)+IFERROR(M170,0))</f>
        <v/>
      </c>
      <c r="O170" s="15">
        <f>IF(A170="","",IF(N170&gt;=28,TRUE,FALSE))</f>
        <v/>
      </c>
      <c r="P170" s="15">
        <f>IF(A170="","",OR(G170=TRUE,O170=TRUE))</f>
        <v/>
      </c>
      <c r="Q170" s="16">
        <f>IF(A170="","",IFERROR(H170,0)+IFERROR(I170,0)+IFERROR(J170,0)+IFERROR(K170,0)+IFERROR(L170,0))</f>
        <v/>
      </c>
      <c r="R170" s="16">
        <f>IF(A170="","",IF(P170=TRUE,0,Q170))</f>
        <v/>
      </c>
      <c r="S170" s="16">
        <f>IF(A170="","",IF(P170=TRUE,0,IFERROR(H170,0)))</f>
        <v/>
      </c>
      <c r="T170" s="16">
        <f>IF(A170="","",IF(P170=TRUE,0,IFERROR(I170,0)))</f>
        <v/>
      </c>
      <c r="U170" s="16">
        <f>IF(A170="","",IF(P170=TRUE,0,IFERROR(J170,0)))</f>
        <v/>
      </c>
      <c r="V170" s="16">
        <f>IF(A170="","",IF(P170=TRUE,0,IFERROR(K170,0)))</f>
        <v/>
      </c>
      <c r="W170" s="16">
        <f>IF(A170="","",IF(P170=TRUE,0,IFERROR(L170,0)))</f>
        <v/>
      </c>
      <c r="X170" s="16">
        <f>IF(A170="","",IF(P170=TRUE,0,IFERROR(H170,0)+IFERROR(I170,0)+IFERROR(L170,0)))</f>
        <v/>
      </c>
      <c r="Y170" s="16">
        <f>IF(A170="",0,IF(G170=TRUE,IFERROR(H170,0)+IFERROR(I170,0)+IFERROR(J170,0)+IFERROR(K170,0)+IFERROR(L170,0),0))</f>
        <v/>
      </c>
      <c r="Z170" s="16">
        <f>IF(A170="",0,IF(AND(O170=TRUE,G170&lt;&gt;TRUE),IFERROR(H170,0)+IFERROR(I170,0)+IFERROR(J170,0)+IFERROR(K170,0)+IFERROR(L170,0),0))</f>
        <v/>
      </c>
    </row>
    <row r="171">
      <c r="A171" s="10" t="n"/>
      <c r="B171" s="10" t="n"/>
      <c r="C171" s="11" t="n"/>
      <c r="D171" s="11" t="n"/>
      <c r="E171" s="10" t="n"/>
      <c r="F171" s="10" t="n"/>
      <c r="G171" s="12" t="n"/>
      <c r="H171" s="13" t="n"/>
      <c r="I171" s="13" t="n"/>
      <c r="J171" s="13" t="n"/>
      <c r="K171" s="13" t="n"/>
      <c r="L171" s="13" t="n"/>
      <c r="M171" s="14">
        <f>IFERROR(IF(A171="","",IFERROR(VLOOKUP(A171,Raw_PriorMonth!A:E,5,FALSE),0)),0)</f>
        <v/>
      </c>
      <c r="N171" s="14">
        <f>IF(A171="","",IFERROR(E171,0)+IFERROR(M171,0))</f>
        <v/>
      </c>
      <c r="O171" s="15">
        <f>IF(A171="","",IF(N171&gt;=28,TRUE,FALSE))</f>
        <v/>
      </c>
      <c r="P171" s="15">
        <f>IF(A171="","",OR(G171=TRUE,O171=TRUE))</f>
        <v/>
      </c>
      <c r="Q171" s="16">
        <f>IF(A171="","",IFERROR(H171,0)+IFERROR(I171,0)+IFERROR(J171,0)+IFERROR(K171,0)+IFERROR(L171,0))</f>
        <v/>
      </c>
      <c r="R171" s="16">
        <f>IF(A171="","",IF(P171=TRUE,0,Q171))</f>
        <v/>
      </c>
      <c r="S171" s="16">
        <f>IF(A171="","",IF(P171=TRUE,0,IFERROR(H171,0)))</f>
        <v/>
      </c>
      <c r="T171" s="16">
        <f>IF(A171="","",IF(P171=TRUE,0,IFERROR(I171,0)))</f>
        <v/>
      </c>
      <c r="U171" s="16">
        <f>IF(A171="","",IF(P171=TRUE,0,IFERROR(J171,0)))</f>
        <v/>
      </c>
      <c r="V171" s="16">
        <f>IF(A171="","",IF(P171=TRUE,0,IFERROR(K171,0)))</f>
        <v/>
      </c>
      <c r="W171" s="16">
        <f>IF(A171="","",IF(P171=TRUE,0,IFERROR(L171,0)))</f>
        <v/>
      </c>
      <c r="X171" s="16">
        <f>IF(A171="","",IF(P171=TRUE,0,IFERROR(H171,0)+IFERROR(I171,0)+IFERROR(L171,0)))</f>
        <v/>
      </c>
      <c r="Y171" s="16">
        <f>IF(A171="",0,IF(G171=TRUE,IFERROR(H171,0)+IFERROR(I171,0)+IFERROR(J171,0)+IFERROR(K171,0)+IFERROR(L171,0),0))</f>
        <v/>
      </c>
      <c r="Z171" s="16">
        <f>IF(A171="",0,IF(AND(O171=TRUE,G171&lt;&gt;TRUE),IFERROR(H171,0)+IFERROR(I171,0)+IFERROR(J171,0)+IFERROR(K171,0)+IFERROR(L171,0),0))</f>
        <v/>
      </c>
    </row>
    <row r="172">
      <c r="A172" s="10" t="n"/>
      <c r="B172" s="10" t="n"/>
      <c r="C172" s="11" t="n"/>
      <c r="D172" s="11" t="n"/>
      <c r="E172" s="10" t="n"/>
      <c r="F172" s="10" t="n"/>
      <c r="G172" s="12" t="n"/>
      <c r="H172" s="13" t="n"/>
      <c r="I172" s="13" t="n"/>
      <c r="J172" s="13" t="n"/>
      <c r="K172" s="13" t="n"/>
      <c r="L172" s="13" t="n"/>
      <c r="M172" s="14">
        <f>IFERROR(IF(A172="","",IFERROR(VLOOKUP(A172,Raw_PriorMonth!A:E,5,FALSE),0)),0)</f>
        <v/>
      </c>
      <c r="N172" s="14">
        <f>IF(A172="","",IFERROR(E172,0)+IFERROR(M172,0))</f>
        <v/>
      </c>
      <c r="O172" s="15">
        <f>IF(A172="","",IF(N172&gt;=28,TRUE,FALSE))</f>
        <v/>
      </c>
      <c r="P172" s="15">
        <f>IF(A172="","",OR(G172=TRUE,O172=TRUE))</f>
        <v/>
      </c>
      <c r="Q172" s="16">
        <f>IF(A172="","",IFERROR(H172,0)+IFERROR(I172,0)+IFERROR(J172,0)+IFERROR(K172,0)+IFERROR(L172,0))</f>
        <v/>
      </c>
      <c r="R172" s="16">
        <f>IF(A172="","",IF(P172=TRUE,0,Q172))</f>
        <v/>
      </c>
      <c r="S172" s="16">
        <f>IF(A172="","",IF(P172=TRUE,0,IFERROR(H172,0)))</f>
        <v/>
      </c>
      <c r="T172" s="16">
        <f>IF(A172="","",IF(P172=TRUE,0,IFERROR(I172,0)))</f>
        <v/>
      </c>
      <c r="U172" s="16">
        <f>IF(A172="","",IF(P172=TRUE,0,IFERROR(J172,0)))</f>
        <v/>
      </c>
      <c r="V172" s="16">
        <f>IF(A172="","",IF(P172=TRUE,0,IFERROR(K172,0)))</f>
        <v/>
      </c>
      <c r="W172" s="16">
        <f>IF(A172="","",IF(P172=TRUE,0,IFERROR(L172,0)))</f>
        <v/>
      </c>
      <c r="X172" s="16">
        <f>IF(A172="","",IF(P172=TRUE,0,IFERROR(H172,0)+IFERROR(I172,0)+IFERROR(L172,0)))</f>
        <v/>
      </c>
      <c r="Y172" s="16">
        <f>IF(A172="",0,IF(G172=TRUE,IFERROR(H172,0)+IFERROR(I172,0)+IFERROR(J172,0)+IFERROR(K172,0)+IFERROR(L172,0),0))</f>
        <v/>
      </c>
      <c r="Z172" s="16">
        <f>IF(A172="",0,IF(AND(O172=TRUE,G172&lt;&gt;TRUE),IFERROR(H172,0)+IFERROR(I172,0)+IFERROR(J172,0)+IFERROR(K172,0)+IFERROR(L172,0),0))</f>
        <v/>
      </c>
    </row>
    <row r="173">
      <c r="A173" s="10" t="n"/>
      <c r="B173" s="10" t="n"/>
      <c r="C173" s="11" t="n"/>
      <c r="D173" s="11" t="n"/>
      <c r="E173" s="10" t="n"/>
      <c r="F173" s="10" t="n"/>
      <c r="G173" s="12" t="n"/>
      <c r="H173" s="13" t="n"/>
      <c r="I173" s="13" t="n"/>
      <c r="J173" s="13" t="n"/>
      <c r="K173" s="13" t="n"/>
      <c r="L173" s="13" t="n"/>
      <c r="M173" s="14">
        <f>IFERROR(IF(A173="","",IFERROR(VLOOKUP(A173,Raw_PriorMonth!A:E,5,FALSE),0)),0)</f>
        <v/>
      </c>
      <c r="N173" s="14">
        <f>IF(A173="","",IFERROR(E173,0)+IFERROR(M173,0))</f>
        <v/>
      </c>
      <c r="O173" s="15">
        <f>IF(A173="","",IF(N173&gt;=28,TRUE,FALSE))</f>
        <v/>
      </c>
      <c r="P173" s="15">
        <f>IF(A173="","",OR(G173=TRUE,O173=TRUE))</f>
        <v/>
      </c>
      <c r="Q173" s="16">
        <f>IF(A173="","",IFERROR(H173,0)+IFERROR(I173,0)+IFERROR(J173,0)+IFERROR(K173,0)+IFERROR(L173,0))</f>
        <v/>
      </c>
      <c r="R173" s="16">
        <f>IF(A173="","",IF(P173=TRUE,0,Q173))</f>
        <v/>
      </c>
      <c r="S173" s="16">
        <f>IF(A173="","",IF(P173=TRUE,0,IFERROR(H173,0)))</f>
        <v/>
      </c>
      <c r="T173" s="16">
        <f>IF(A173="","",IF(P173=TRUE,0,IFERROR(I173,0)))</f>
        <v/>
      </c>
      <c r="U173" s="16">
        <f>IF(A173="","",IF(P173=TRUE,0,IFERROR(J173,0)))</f>
        <v/>
      </c>
      <c r="V173" s="16">
        <f>IF(A173="","",IF(P173=TRUE,0,IFERROR(K173,0)))</f>
        <v/>
      </c>
      <c r="W173" s="16">
        <f>IF(A173="","",IF(P173=TRUE,0,IFERROR(L173,0)))</f>
        <v/>
      </c>
      <c r="X173" s="16">
        <f>IF(A173="","",IF(P173=TRUE,0,IFERROR(H173,0)+IFERROR(I173,0)+IFERROR(L173,0)))</f>
        <v/>
      </c>
      <c r="Y173" s="16">
        <f>IF(A173="",0,IF(G173=TRUE,IFERROR(H173,0)+IFERROR(I173,0)+IFERROR(J173,0)+IFERROR(K173,0)+IFERROR(L173,0),0))</f>
        <v/>
      </c>
      <c r="Z173" s="16">
        <f>IF(A173="",0,IF(AND(O173=TRUE,G173&lt;&gt;TRUE),IFERROR(H173,0)+IFERROR(I173,0)+IFERROR(J173,0)+IFERROR(K173,0)+IFERROR(L173,0),0))</f>
        <v/>
      </c>
    </row>
    <row r="174">
      <c r="A174" s="10" t="n"/>
      <c r="B174" s="10" t="n"/>
      <c r="C174" s="11" t="n"/>
      <c r="D174" s="11" t="n"/>
      <c r="E174" s="10" t="n"/>
      <c r="F174" s="10" t="n"/>
      <c r="G174" s="12" t="n"/>
      <c r="H174" s="13" t="n"/>
      <c r="I174" s="13" t="n"/>
      <c r="J174" s="13" t="n"/>
      <c r="K174" s="13" t="n"/>
      <c r="L174" s="13" t="n"/>
      <c r="M174" s="14">
        <f>IFERROR(IF(A174="","",IFERROR(VLOOKUP(A174,Raw_PriorMonth!A:E,5,FALSE),0)),0)</f>
        <v/>
      </c>
      <c r="N174" s="14">
        <f>IF(A174="","",IFERROR(E174,0)+IFERROR(M174,0))</f>
        <v/>
      </c>
      <c r="O174" s="15">
        <f>IF(A174="","",IF(N174&gt;=28,TRUE,FALSE))</f>
        <v/>
      </c>
      <c r="P174" s="15">
        <f>IF(A174="","",OR(G174=TRUE,O174=TRUE))</f>
        <v/>
      </c>
      <c r="Q174" s="16">
        <f>IF(A174="","",IFERROR(H174,0)+IFERROR(I174,0)+IFERROR(J174,0)+IFERROR(K174,0)+IFERROR(L174,0))</f>
        <v/>
      </c>
      <c r="R174" s="16">
        <f>IF(A174="","",IF(P174=TRUE,0,Q174))</f>
        <v/>
      </c>
      <c r="S174" s="16">
        <f>IF(A174="","",IF(P174=TRUE,0,IFERROR(H174,0)))</f>
        <v/>
      </c>
      <c r="T174" s="16">
        <f>IF(A174="","",IF(P174=TRUE,0,IFERROR(I174,0)))</f>
        <v/>
      </c>
      <c r="U174" s="16">
        <f>IF(A174="","",IF(P174=TRUE,0,IFERROR(J174,0)))</f>
        <v/>
      </c>
      <c r="V174" s="16">
        <f>IF(A174="","",IF(P174=TRUE,0,IFERROR(K174,0)))</f>
        <v/>
      </c>
      <c r="W174" s="16">
        <f>IF(A174="","",IF(P174=TRUE,0,IFERROR(L174,0)))</f>
        <v/>
      </c>
      <c r="X174" s="16">
        <f>IF(A174="","",IF(P174=TRUE,0,IFERROR(H174,0)+IFERROR(I174,0)+IFERROR(L174,0)))</f>
        <v/>
      </c>
      <c r="Y174" s="16">
        <f>IF(A174="",0,IF(G174=TRUE,IFERROR(H174,0)+IFERROR(I174,0)+IFERROR(J174,0)+IFERROR(K174,0)+IFERROR(L174,0),0))</f>
        <v/>
      </c>
      <c r="Z174" s="16">
        <f>IF(A174="",0,IF(AND(O174=TRUE,G174&lt;&gt;TRUE),IFERROR(H174,0)+IFERROR(I174,0)+IFERROR(J174,0)+IFERROR(K174,0)+IFERROR(L174,0),0))</f>
        <v/>
      </c>
    </row>
    <row r="175">
      <c r="A175" s="10" t="n"/>
      <c r="B175" s="10" t="n"/>
      <c r="C175" s="11" t="n"/>
      <c r="D175" s="11" t="n"/>
      <c r="E175" s="10" t="n"/>
      <c r="F175" s="10" t="n"/>
      <c r="G175" s="12" t="n"/>
      <c r="H175" s="13" t="n"/>
      <c r="I175" s="13" t="n"/>
      <c r="J175" s="13" t="n"/>
      <c r="K175" s="13" t="n"/>
      <c r="L175" s="13" t="n"/>
      <c r="M175" s="14">
        <f>IFERROR(IF(A175="","",IFERROR(VLOOKUP(A175,Raw_PriorMonth!A:E,5,FALSE),0)),0)</f>
        <v/>
      </c>
      <c r="N175" s="14">
        <f>IF(A175="","",IFERROR(E175,0)+IFERROR(M175,0))</f>
        <v/>
      </c>
      <c r="O175" s="15">
        <f>IF(A175="","",IF(N175&gt;=28,TRUE,FALSE))</f>
        <v/>
      </c>
      <c r="P175" s="15">
        <f>IF(A175="","",OR(G175=TRUE,O175=TRUE))</f>
        <v/>
      </c>
      <c r="Q175" s="16">
        <f>IF(A175="","",IFERROR(H175,0)+IFERROR(I175,0)+IFERROR(J175,0)+IFERROR(K175,0)+IFERROR(L175,0))</f>
        <v/>
      </c>
      <c r="R175" s="16">
        <f>IF(A175="","",IF(P175=TRUE,0,Q175))</f>
        <v/>
      </c>
      <c r="S175" s="16">
        <f>IF(A175="","",IF(P175=TRUE,0,IFERROR(H175,0)))</f>
        <v/>
      </c>
      <c r="T175" s="16">
        <f>IF(A175="","",IF(P175=TRUE,0,IFERROR(I175,0)))</f>
        <v/>
      </c>
      <c r="U175" s="16">
        <f>IF(A175="","",IF(P175=TRUE,0,IFERROR(J175,0)))</f>
        <v/>
      </c>
      <c r="V175" s="16">
        <f>IF(A175="","",IF(P175=TRUE,0,IFERROR(K175,0)))</f>
        <v/>
      </c>
      <c r="W175" s="16">
        <f>IF(A175="","",IF(P175=TRUE,0,IFERROR(L175,0)))</f>
        <v/>
      </c>
      <c r="X175" s="16">
        <f>IF(A175="","",IF(P175=TRUE,0,IFERROR(H175,0)+IFERROR(I175,0)+IFERROR(L175,0)))</f>
        <v/>
      </c>
      <c r="Y175" s="16">
        <f>IF(A175="",0,IF(G175=TRUE,IFERROR(H175,0)+IFERROR(I175,0)+IFERROR(J175,0)+IFERROR(K175,0)+IFERROR(L175,0),0))</f>
        <v/>
      </c>
      <c r="Z175" s="16">
        <f>IF(A175="",0,IF(AND(O175=TRUE,G175&lt;&gt;TRUE),IFERROR(H175,0)+IFERROR(I175,0)+IFERROR(J175,0)+IFERROR(K175,0)+IFERROR(L175,0),0))</f>
        <v/>
      </c>
    </row>
    <row r="176">
      <c r="A176" s="10" t="n"/>
      <c r="B176" s="10" t="n"/>
      <c r="C176" s="11" t="n"/>
      <c r="D176" s="11" t="n"/>
      <c r="E176" s="10" t="n"/>
      <c r="F176" s="10" t="n"/>
      <c r="G176" s="12" t="n"/>
      <c r="H176" s="13" t="n"/>
      <c r="I176" s="13" t="n"/>
      <c r="J176" s="13" t="n"/>
      <c r="K176" s="13" t="n"/>
      <c r="L176" s="13" t="n"/>
      <c r="M176" s="14">
        <f>IFERROR(IF(A176="","",IFERROR(VLOOKUP(A176,Raw_PriorMonth!A:E,5,FALSE),0)),0)</f>
        <v/>
      </c>
      <c r="N176" s="14">
        <f>IF(A176="","",IFERROR(E176,0)+IFERROR(M176,0))</f>
        <v/>
      </c>
      <c r="O176" s="15">
        <f>IF(A176="","",IF(N176&gt;=28,TRUE,FALSE))</f>
        <v/>
      </c>
      <c r="P176" s="15">
        <f>IF(A176="","",OR(G176=TRUE,O176=TRUE))</f>
        <v/>
      </c>
      <c r="Q176" s="16">
        <f>IF(A176="","",IFERROR(H176,0)+IFERROR(I176,0)+IFERROR(J176,0)+IFERROR(K176,0)+IFERROR(L176,0))</f>
        <v/>
      </c>
      <c r="R176" s="16">
        <f>IF(A176="","",IF(P176=TRUE,0,Q176))</f>
        <v/>
      </c>
      <c r="S176" s="16">
        <f>IF(A176="","",IF(P176=TRUE,0,IFERROR(H176,0)))</f>
        <v/>
      </c>
      <c r="T176" s="16">
        <f>IF(A176="","",IF(P176=TRUE,0,IFERROR(I176,0)))</f>
        <v/>
      </c>
      <c r="U176" s="16">
        <f>IF(A176="","",IF(P176=TRUE,0,IFERROR(J176,0)))</f>
        <v/>
      </c>
      <c r="V176" s="16">
        <f>IF(A176="","",IF(P176=TRUE,0,IFERROR(K176,0)))</f>
        <v/>
      </c>
      <c r="W176" s="16">
        <f>IF(A176="","",IF(P176=TRUE,0,IFERROR(L176,0)))</f>
        <v/>
      </c>
      <c r="X176" s="16">
        <f>IF(A176="","",IF(P176=TRUE,0,IFERROR(H176,0)+IFERROR(I176,0)+IFERROR(L176,0)))</f>
        <v/>
      </c>
      <c r="Y176" s="16">
        <f>IF(A176="",0,IF(G176=TRUE,IFERROR(H176,0)+IFERROR(I176,0)+IFERROR(J176,0)+IFERROR(K176,0)+IFERROR(L176,0),0))</f>
        <v/>
      </c>
      <c r="Z176" s="16">
        <f>IF(A176="",0,IF(AND(O176=TRUE,G176&lt;&gt;TRUE),IFERROR(H176,0)+IFERROR(I176,0)+IFERROR(J176,0)+IFERROR(K176,0)+IFERROR(L176,0),0))</f>
        <v/>
      </c>
    </row>
    <row r="177">
      <c r="A177" s="10" t="n"/>
      <c r="B177" s="10" t="n"/>
      <c r="C177" s="11" t="n"/>
      <c r="D177" s="11" t="n"/>
      <c r="E177" s="10" t="n"/>
      <c r="F177" s="10" t="n"/>
      <c r="G177" s="12" t="n"/>
      <c r="H177" s="13" t="n"/>
      <c r="I177" s="13" t="n"/>
      <c r="J177" s="13" t="n"/>
      <c r="K177" s="13" t="n"/>
      <c r="L177" s="13" t="n"/>
      <c r="M177" s="14">
        <f>IFERROR(IF(A177="","",IFERROR(VLOOKUP(A177,Raw_PriorMonth!A:E,5,FALSE),0)),0)</f>
        <v/>
      </c>
      <c r="N177" s="14">
        <f>IF(A177="","",IFERROR(E177,0)+IFERROR(M177,0))</f>
        <v/>
      </c>
      <c r="O177" s="15">
        <f>IF(A177="","",IF(N177&gt;=28,TRUE,FALSE))</f>
        <v/>
      </c>
      <c r="P177" s="15">
        <f>IF(A177="","",OR(G177=TRUE,O177=TRUE))</f>
        <v/>
      </c>
      <c r="Q177" s="16">
        <f>IF(A177="","",IFERROR(H177,0)+IFERROR(I177,0)+IFERROR(J177,0)+IFERROR(K177,0)+IFERROR(L177,0))</f>
        <v/>
      </c>
      <c r="R177" s="16">
        <f>IF(A177="","",IF(P177=TRUE,0,Q177))</f>
        <v/>
      </c>
      <c r="S177" s="16">
        <f>IF(A177="","",IF(P177=TRUE,0,IFERROR(H177,0)))</f>
        <v/>
      </c>
      <c r="T177" s="16">
        <f>IF(A177="","",IF(P177=TRUE,0,IFERROR(I177,0)))</f>
        <v/>
      </c>
      <c r="U177" s="16">
        <f>IF(A177="","",IF(P177=TRUE,0,IFERROR(J177,0)))</f>
        <v/>
      </c>
      <c r="V177" s="16">
        <f>IF(A177="","",IF(P177=TRUE,0,IFERROR(K177,0)))</f>
        <v/>
      </c>
      <c r="W177" s="16">
        <f>IF(A177="","",IF(P177=TRUE,0,IFERROR(L177,0)))</f>
        <v/>
      </c>
      <c r="X177" s="16">
        <f>IF(A177="","",IF(P177=TRUE,0,IFERROR(H177,0)+IFERROR(I177,0)+IFERROR(L177,0)))</f>
        <v/>
      </c>
      <c r="Y177" s="16">
        <f>IF(A177="",0,IF(G177=TRUE,IFERROR(H177,0)+IFERROR(I177,0)+IFERROR(J177,0)+IFERROR(K177,0)+IFERROR(L177,0),0))</f>
        <v/>
      </c>
      <c r="Z177" s="16">
        <f>IF(A177="",0,IF(AND(O177=TRUE,G177&lt;&gt;TRUE),IFERROR(H177,0)+IFERROR(I177,0)+IFERROR(J177,0)+IFERROR(K177,0)+IFERROR(L177,0),0))</f>
        <v/>
      </c>
    </row>
    <row r="178">
      <c r="A178" s="10" t="n"/>
      <c r="B178" s="10" t="n"/>
      <c r="C178" s="11" t="n"/>
      <c r="D178" s="11" t="n"/>
      <c r="E178" s="10" t="n"/>
      <c r="F178" s="10" t="n"/>
      <c r="G178" s="12" t="n"/>
      <c r="H178" s="13" t="n"/>
      <c r="I178" s="13" t="n"/>
      <c r="J178" s="13" t="n"/>
      <c r="K178" s="13" t="n"/>
      <c r="L178" s="13" t="n"/>
      <c r="M178" s="14">
        <f>IFERROR(IF(A178="","",IFERROR(VLOOKUP(A178,Raw_PriorMonth!A:E,5,FALSE),0)),0)</f>
        <v/>
      </c>
      <c r="N178" s="14">
        <f>IF(A178="","",IFERROR(E178,0)+IFERROR(M178,0))</f>
        <v/>
      </c>
      <c r="O178" s="15">
        <f>IF(A178="","",IF(N178&gt;=28,TRUE,FALSE))</f>
        <v/>
      </c>
      <c r="P178" s="15">
        <f>IF(A178="","",OR(G178=TRUE,O178=TRUE))</f>
        <v/>
      </c>
      <c r="Q178" s="16">
        <f>IF(A178="","",IFERROR(H178,0)+IFERROR(I178,0)+IFERROR(J178,0)+IFERROR(K178,0)+IFERROR(L178,0))</f>
        <v/>
      </c>
      <c r="R178" s="16">
        <f>IF(A178="","",IF(P178=TRUE,0,Q178))</f>
        <v/>
      </c>
      <c r="S178" s="16">
        <f>IF(A178="","",IF(P178=TRUE,0,IFERROR(H178,0)))</f>
        <v/>
      </c>
      <c r="T178" s="16">
        <f>IF(A178="","",IF(P178=TRUE,0,IFERROR(I178,0)))</f>
        <v/>
      </c>
      <c r="U178" s="16">
        <f>IF(A178="","",IF(P178=TRUE,0,IFERROR(J178,0)))</f>
        <v/>
      </c>
      <c r="V178" s="16">
        <f>IF(A178="","",IF(P178=TRUE,0,IFERROR(K178,0)))</f>
        <v/>
      </c>
      <c r="W178" s="16">
        <f>IF(A178="","",IF(P178=TRUE,0,IFERROR(L178,0)))</f>
        <v/>
      </c>
      <c r="X178" s="16">
        <f>IF(A178="","",IF(P178=TRUE,0,IFERROR(H178,0)+IFERROR(I178,0)+IFERROR(L178,0)))</f>
        <v/>
      </c>
      <c r="Y178" s="16">
        <f>IF(A178="",0,IF(G178=TRUE,IFERROR(H178,0)+IFERROR(I178,0)+IFERROR(J178,0)+IFERROR(K178,0)+IFERROR(L178,0),0))</f>
        <v/>
      </c>
      <c r="Z178" s="16">
        <f>IF(A178="",0,IF(AND(O178=TRUE,G178&lt;&gt;TRUE),IFERROR(H178,0)+IFERROR(I178,0)+IFERROR(J178,0)+IFERROR(K178,0)+IFERROR(L178,0),0))</f>
        <v/>
      </c>
    </row>
    <row r="179">
      <c r="A179" s="10" t="n"/>
      <c r="B179" s="10" t="n"/>
      <c r="C179" s="11" t="n"/>
      <c r="D179" s="11" t="n"/>
      <c r="E179" s="10" t="n"/>
      <c r="F179" s="10" t="n"/>
      <c r="G179" s="12" t="n"/>
      <c r="H179" s="13" t="n"/>
      <c r="I179" s="13" t="n"/>
      <c r="J179" s="13" t="n"/>
      <c r="K179" s="13" t="n"/>
      <c r="L179" s="13" t="n"/>
      <c r="M179" s="14">
        <f>IFERROR(IF(A179="","",IFERROR(VLOOKUP(A179,Raw_PriorMonth!A:E,5,FALSE),0)),0)</f>
        <v/>
      </c>
      <c r="N179" s="14">
        <f>IF(A179="","",IFERROR(E179,0)+IFERROR(M179,0))</f>
        <v/>
      </c>
      <c r="O179" s="15">
        <f>IF(A179="","",IF(N179&gt;=28,TRUE,FALSE))</f>
        <v/>
      </c>
      <c r="P179" s="15">
        <f>IF(A179="","",OR(G179=TRUE,O179=TRUE))</f>
        <v/>
      </c>
      <c r="Q179" s="16">
        <f>IF(A179="","",IFERROR(H179,0)+IFERROR(I179,0)+IFERROR(J179,0)+IFERROR(K179,0)+IFERROR(L179,0))</f>
        <v/>
      </c>
      <c r="R179" s="16">
        <f>IF(A179="","",IF(P179=TRUE,0,Q179))</f>
        <v/>
      </c>
      <c r="S179" s="16">
        <f>IF(A179="","",IF(P179=TRUE,0,IFERROR(H179,0)))</f>
        <v/>
      </c>
      <c r="T179" s="16">
        <f>IF(A179="","",IF(P179=TRUE,0,IFERROR(I179,0)))</f>
        <v/>
      </c>
      <c r="U179" s="16">
        <f>IF(A179="","",IF(P179=TRUE,0,IFERROR(J179,0)))</f>
        <v/>
      </c>
      <c r="V179" s="16">
        <f>IF(A179="","",IF(P179=TRUE,0,IFERROR(K179,0)))</f>
        <v/>
      </c>
      <c r="W179" s="16">
        <f>IF(A179="","",IF(P179=TRUE,0,IFERROR(L179,0)))</f>
        <v/>
      </c>
      <c r="X179" s="16">
        <f>IF(A179="","",IF(P179=TRUE,0,IFERROR(H179,0)+IFERROR(I179,0)+IFERROR(L179,0)))</f>
        <v/>
      </c>
      <c r="Y179" s="16">
        <f>IF(A179="",0,IF(G179=TRUE,IFERROR(H179,0)+IFERROR(I179,0)+IFERROR(J179,0)+IFERROR(K179,0)+IFERROR(L179,0),0))</f>
        <v/>
      </c>
      <c r="Z179" s="16">
        <f>IF(A179="",0,IF(AND(O179=TRUE,G179&lt;&gt;TRUE),IFERROR(H179,0)+IFERROR(I179,0)+IFERROR(J179,0)+IFERROR(K179,0)+IFERROR(L179,0),0))</f>
        <v/>
      </c>
    </row>
    <row r="180">
      <c r="A180" s="10" t="n"/>
      <c r="B180" s="10" t="n"/>
      <c r="C180" s="11" t="n"/>
      <c r="D180" s="11" t="n"/>
      <c r="E180" s="10" t="n"/>
      <c r="F180" s="10" t="n"/>
      <c r="G180" s="12" t="n"/>
      <c r="H180" s="13" t="n"/>
      <c r="I180" s="13" t="n"/>
      <c r="J180" s="13" t="n"/>
      <c r="K180" s="13" t="n"/>
      <c r="L180" s="13" t="n"/>
      <c r="M180" s="14">
        <f>IFERROR(IF(A180="","",IFERROR(VLOOKUP(A180,Raw_PriorMonth!A:E,5,FALSE),0)),0)</f>
        <v/>
      </c>
      <c r="N180" s="14">
        <f>IF(A180="","",IFERROR(E180,0)+IFERROR(M180,0))</f>
        <v/>
      </c>
      <c r="O180" s="15">
        <f>IF(A180="","",IF(N180&gt;=28,TRUE,FALSE))</f>
        <v/>
      </c>
      <c r="P180" s="15">
        <f>IF(A180="","",OR(G180=TRUE,O180=TRUE))</f>
        <v/>
      </c>
      <c r="Q180" s="16">
        <f>IF(A180="","",IFERROR(H180,0)+IFERROR(I180,0)+IFERROR(J180,0)+IFERROR(K180,0)+IFERROR(L180,0))</f>
        <v/>
      </c>
      <c r="R180" s="16">
        <f>IF(A180="","",IF(P180=TRUE,0,Q180))</f>
        <v/>
      </c>
      <c r="S180" s="16">
        <f>IF(A180="","",IF(P180=TRUE,0,IFERROR(H180,0)))</f>
        <v/>
      </c>
      <c r="T180" s="16">
        <f>IF(A180="","",IF(P180=TRUE,0,IFERROR(I180,0)))</f>
        <v/>
      </c>
      <c r="U180" s="16">
        <f>IF(A180="","",IF(P180=TRUE,0,IFERROR(J180,0)))</f>
        <v/>
      </c>
      <c r="V180" s="16">
        <f>IF(A180="","",IF(P180=TRUE,0,IFERROR(K180,0)))</f>
        <v/>
      </c>
      <c r="W180" s="16">
        <f>IF(A180="","",IF(P180=TRUE,0,IFERROR(L180,0)))</f>
        <v/>
      </c>
      <c r="X180" s="16">
        <f>IF(A180="","",IF(P180=TRUE,0,IFERROR(H180,0)+IFERROR(I180,0)+IFERROR(L180,0)))</f>
        <v/>
      </c>
      <c r="Y180" s="16">
        <f>IF(A180="",0,IF(G180=TRUE,IFERROR(H180,0)+IFERROR(I180,0)+IFERROR(J180,0)+IFERROR(K180,0)+IFERROR(L180,0),0))</f>
        <v/>
      </c>
      <c r="Z180" s="16">
        <f>IF(A180="",0,IF(AND(O180=TRUE,G180&lt;&gt;TRUE),IFERROR(H180,0)+IFERROR(I180,0)+IFERROR(J180,0)+IFERROR(K180,0)+IFERROR(L180,0),0))</f>
        <v/>
      </c>
    </row>
    <row r="181">
      <c r="A181" s="10" t="n"/>
      <c r="B181" s="10" t="n"/>
      <c r="C181" s="11" t="n"/>
      <c r="D181" s="11" t="n"/>
      <c r="E181" s="10" t="n"/>
      <c r="F181" s="10" t="n"/>
      <c r="G181" s="12" t="n"/>
      <c r="H181" s="13" t="n"/>
      <c r="I181" s="13" t="n"/>
      <c r="J181" s="13" t="n"/>
      <c r="K181" s="13" t="n"/>
      <c r="L181" s="13" t="n"/>
      <c r="M181" s="14">
        <f>IFERROR(IF(A181="","",IFERROR(VLOOKUP(A181,Raw_PriorMonth!A:E,5,FALSE),0)),0)</f>
        <v/>
      </c>
      <c r="N181" s="14">
        <f>IF(A181="","",IFERROR(E181,0)+IFERROR(M181,0))</f>
        <v/>
      </c>
      <c r="O181" s="15">
        <f>IF(A181="","",IF(N181&gt;=28,TRUE,FALSE))</f>
        <v/>
      </c>
      <c r="P181" s="15">
        <f>IF(A181="","",OR(G181=TRUE,O181=TRUE))</f>
        <v/>
      </c>
      <c r="Q181" s="16">
        <f>IF(A181="","",IFERROR(H181,0)+IFERROR(I181,0)+IFERROR(J181,0)+IFERROR(K181,0)+IFERROR(L181,0))</f>
        <v/>
      </c>
      <c r="R181" s="16">
        <f>IF(A181="","",IF(P181=TRUE,0,Q181))</f>
        <v/>
      </c>
      <c r="S181" s="16">
        <f>IF(A181="","",IF(P181=TRUE,0,IFERROR(H181,0)))</f>
        <v/>
      </c>
      <c r="T181" s="16">
        <f>IF(A181="","",IF(P181=TRUE,0,IFERROR(I181,0)))</f>
        <v/>
      </c>
      <c r="U181" s="16">
        <f>IF(A181="","",IF(P181=TRUE,0,IFERROR(J181,0)))</f>
        <v/>
      </c>
      <c r="V181" s="16">
        <f>IF(A181="","",IF(P181=TRUE,0,IFERROR(K181,0)))</f>
        <v/>
      </c>
      <c r="W181" s="16">
        <f>IF(A181="","",IF(P181=TRUE,0,IFERROR(L181,0)))</f>
        <v/>
      </c>
      <c r="X181" s="16">
        <f>IF(A181="","",IF(P181=TRUE,0,IFERROR(H181,0)+IFERROR(I181,0)+IFERROR(L181,0)))</f>
        <v/>
      </c>
      <c r="Y181" s="16">
        <f>IF(A181="",0,IF(G181=TRUE,IFERROR(H181,0)+IFERROR(I181,0)+IFERROR(J181,0)+IFERROR(K181,0)+IFERROR(L181,0),0))</f>
        <v/>
      </c>
      <c r="Z181" s="16">
        <f>IF(A181="",0,IF(AND(O181=TRUE,G181&lt;&gt;TRUE),IFERROR(H181,0)+IFERROR(I181,0)+IFERROR(J181,0)+IFERROR(K181,0)+IFERROR(L181,0),0))</f>
        <v/>
      </c>
    </row>
    <row r="182">
      <c r="A182" s="10" t="n"/>
      <c r="B182" s="10" t="n"/>
      <c r="C182" s="11" t="n"/>
      <c r="D182" s="11" t="n"/>
      <c r="E182" s="10" t="n"/>
      <c r="F182" s="10" t="n"/>
      <c r="G182" s="12" t="n"/>
      <c r="H182" s="13" t="n"/>
      <c r="I182" s="13" t="n"/>
      <c r="J182" s="13" t="n"/>
      <c r="K182" s="13" t="n"/>
      <c r="L182" s="13" t="n"/>
      <c r="M182" s="14">
        <f>IFERROR(IF(A182="","",IFERROR(VLOOKUP(A182,Raw_PriorMonth!A:E,5,FALSE),0)),0)</f>
        <v/>
      </c>
      <c r="N182" s="14">
        <f>IF(A182="","",IFERROR(E182,0)+IFERROR(M182,0))</f>
        <v/>
      </c>
      <c r="O182" s="15">
        <f>IF(A182="","",IF(N182&gt;=28,TRUE,FALSE))</f>
        <v/>
      </c>
      <c r="P182" s="15">
        <f>IF(A182="","",OR(G182=TRUE,O182=TRUE))</f>
        <v/>
      </c>
      <c r="Q182" s="16">
        <f>IF(A182="","",IFERROR(H182,0)+IFERROR(I182,0)+IFERROR(J182,0)+IFERROR(K182,0)+IFERROR(L182,0))</f>
        <v/>
      </c>
      <c r="R182" s="16">
        <f>IF(A182="","",IF(P182=TRUE,0,Q182))</f>
        <v/>
      </c>
      <c r="S182" s="16">
        <f>IF(A182="","",IF(P182=TRUE,0,IFERROR(H182,0)))</f>
        <v/>
      </c>
      <c r="T182" s="16">
        <f>IF(A182="","",IF(P182=TRUE,0,IFERROR(I182,0)))</f>
        <v/>
      </c>
      <c r="U182" s="16">
        <f>IF(A182="","",IF(P182=TRUE,0,IFERROR(J182,0)))</f>
        <v/>
      </c>
      <c r="V182" s="16">
        <f>IF(A182="","",IF(P182=TRUE,0,IFERROR(K182,0)))</f>
        <v/>
      </c>
      <c r="W182" s="16">
        <f>IF(A182="","",IF(P182=TRUE,0,IFERROR(L182,0)))</f>
        <v/>
      </c>
      <c r="X182" s="16">
        <f>IF(A182="","",IF(P182=TRUE,0,IFERROR(H182,0)+IFERROR(I182,0)+IFERROR(L182,0)))</f>
        <v/>
      </c>
      <c r="Y182" s="16">
        <f>IF(A182="",0,IF(G182=TRUE,IFERROR(H182,0)+IFERROR(I182,0)+IFERROR(J182,0)+IFERROR(K182,0)+IFERROR(L182,0),0))</f>
        <v/>
      </c>
      <c r="Z182" s="16">
        <f>IF(A182="",0,IF(AND(O182=TRUE,G182&lt;&gt;TRUE),IFERROR(H182,0)+IFERROR(I182,0)+IFERROR(J182,0)+IFERROR(K182,0)+IFERROR(L182,0),0))</f>
        <v/>
      </c>
    </row>
    <row r="183">
      <c r="A183" s="10" t="n"/>
      <c r="B183" s="10" t="n"/>
      <c r="C183" s="11" t="n"/>
      <c r="D183" s="11" t="n"/>
      <c r="E183" s="10" t="n"/>
      <c r="F183" s="10" t="n"/>
      <c r="G183" s="12" t="n"/>
      <c r="H183" s="13" t="n"/>
      <c r="I183" s="13" t="n"/>
      <c r="J183" s="13" t="n"/>
      <c r="K183" s="13" t="n"/>
      <c r="L183" s="13" t="n"/>
      <c r="M183" s="14">
        <f>IFERROR(IF(A183="","",IFERROR(VLOOKUP(A183,Raw_PriorMonth!A:E,5,FALSE),0)),0)</f>
        <v/>
      </c>
      <c r="N183" s="14">
        <f>IF(A183="","",IFERROR(E183,0)+IFERROR(M183,0))</f>
        <v/>
      </c>
      <c r="O183" s="15">
        <f>IF(A183="","",IF(N183&gt;=28,TRUE,FALSE))</f>
        <v/>
      </c>
      <c r="P183" s="15">
        <f>IF(A183="","",OR(G183=TRUE,O183=TRUE))</f>
        <v/>
      </c>
      <c r="Q183" s="16">
        <f>IF(A183="","",IFERROR(H183,0)+IFERROR(I183,0)+IFERROR(J183,0)+IFERROR(K183,0)+IFERROR(L183,0))</f>
        <v/>
      </c>
      <c r="R183" s="16">
        <f>IF(A183="","",IF(P183=TRUE,0,Q183))</f>
        <v/>
      </c>
      <c r="S183" s="16">
        <f>IF(A183="","",IF(P183=TRUE,0,IFERROR(H183,0)))</f>
        <v/>
      </c>
      <c r="T183" s="16">
        <f>IF(A183="","",IF(P183=TRUE,0,IFERROR(I183,0)))</f>
        <v/>
      </c>
      <c r="U183" s="16">
        <f>IF(A183="","",IF(P183=TRUE,0,IFERROR(J183,0)))</f>
        <v/>
      </c>
      <c r="V183" s="16">
        <f>IF(A183="","",IF(P183=TRUE,0,IFERROR(K183,0)))</f>
        <v/>
      </c>
      <c r="W183" s="16">
        <f>IF(A183="","",IF(P183=TRUE,0,IFERROR(L183,0)))</f>
        <v/>
      </c>
      <c r="X183" s="16">
        <f>IF(A183="","",IF(P183=TRUE,0,IFERROR(H183,0)+IFERROR(I183,0)+IFERROR(L183,0)))</f>
        <v/>
      </c>
      <c r="Y183" s="16">
        <f>IF(A183="",0,IF(G183=TRUE,IFERROR(H183,0)+IFERROR(I183,0)+IFERROR(J183,0)+IFERROR(K183,0)+IFERROR(L183,0),0))</f>
        <v/>
      </c>
      <c r="Z183" s="16">
        <f>IF(A183="",0,IF(AND(O183=TRUE,G183&lt;&gt;TRUE),IFERROR(H183,0)+IFERROR(I183,0)+IFERROR(J183,0)+IFERROR(K183,0)+IFERROR(L183,0),0))</f>
        <v/>
      </c>
    </row>
    <row r="184">
      <c r="A184" s="10" t="n"/>
      <c r="B184" s="10" t="n"/>
      <c r="C184" s="11" t="n"/>
      <c r="D184" s="11" t="n"/>
      <c r="E184" s="10" t="n"/>
      <c r="F184" s="10" t="n"/>
      <c r="G184" s="12" t="n"/>
      <c r="H184" s="13" t="n"/>
      <c r="I184" s="13" t="n"/>
      <c r="J184" s="13" t="n"/>
      <c r="K184" s="13" t="n"/>
      <c r="L184" s="13" t="n"/>
      <c r="M184" s="14">
        <f>IFERROR(IF(A184="","",IFERROR(VLOOKUP(A184,Raw_PriorMonth!A:E,5,FALSE),0)),0)</f>
        <v/>
      </c>
      <c r="N184" s="14">
        <f>IF(A184="","",IFERROR(E184,0)+IFERROR(M184,0))</f>
        <v/>
      </c>
      <c r="O184" s="15">
        <f>IF(A184="","",IF(N184&gt;=28,TRUE,FALSE))</f>
        <v/>
      </c>
      <c r="P184" s="15">
        <f>IF(A184="","",OR(G184=TRUE,O184=TRUE))</f>
        <v/>
      </c>
      <c r="Q184" s="16">
        <f>IF(A184="","",IFERROR(H184,0)+IFERROR(I184,0)+IFERROR(J184,0)+IFERROR(K184,0)+IFERROR(L184,0))</f>
        <v/>
      </c>
      <c r="R184" s="16">
        <f>IF(A184="","",IF(P184=TRUE,0,Q184))</f>
        <v/>
      </c>
      <c r="S184" s="16">
        <f>IF(A184="","",IF(P184=TRUE,0,IFERROR(H184,0)))</f>
        <v/>
      </c>
      <c r="T184" s="16">
        <f>IF(A184="","",IF(P184=TRUE,0,IFERROR(I184,0)))</f>
        <v/>
      </c>
      <c r="U184" s="16">
        <f>IF(A184="","",IF(P184=TRUE,0,IFERROR(J184,0)))</f>
        <v/>
      </c>
      <c r="V184" s="16">
        <f>IF(A184="","",IF(P184=TRUE,0,IFERROR(K184,0)))</f>
        <v/>
      </c>
      <c r="W184" s="16">
        <f>IF(A184="","",IF(P184=TRUE,0,IFERROR(L184,0)))</f>
        <v/>
      </c>
      <c r="X184" s="16">
        <f>IF(A184="","",IF(P184=TRUE,0,IFERROR(H184,0)+IFERROR(I184,0)+IFERROR(L184,0)))</f>
        <v/>
      </c>
      <c r="Y184" s="16">
        <f>IF(A184="",0,IF(G184=TRUE,IFERROR(H184,0)+IFERROR(I184,0)+IFERROR(J184,0)+IFERROR(K184,0)+IFERROR(L184,0),0))</f>
        <v/>
      </c>
      <c r="Z184" s="16">
        <f>IF(A184="",0,IF(AND(O184=TRUE,G184&lt;&gt;TRUE),IFERROR(H184,0)+IFERROR(I184,0)+IFERROR(J184,0)+IFERROR(K184,0)+IFERROR(L184,0),0))</f>
        <v/>
      </c>
    </row>
    <row r="185">
      <c r="A185" s="10" t="n"/>
      <c r="B185" s="10" t="n"/>
      <c r="C185" s="11" t="n"/>
      <c r="D185" s="11" t="n"/>
      <c r="E185" s="10" t="n"/>
      <c r="F185" s="10" t="n"/>
      <c r="G185" s="12" t="n"/>
      <c r="H185" s="13" t="n"/>
      <c r="I185" s="13" t="n"/>
      <c r="J185" s="13" t="n"/>
      <c r="K185" s="13" t="n"/>
      <c r="L185" s="13" t="n"/>
      <c r="M185" s="14">
        <f>IFERROR(IF(A185="","",IFERROR(VLOOKUP(A185,Raw_PriorMonth!A:E,5,FALSE),0)),0)</f>
        <v/>
      </c>
      <c r="N185" s="14">
        <f>IF(A185="","",IFERROR(E185,0)+IFERROR(M185,0))</f>
        <v/>
      </c>
      <c r="O185" s="15">
        <f>IF(A185="","",IF(N185&gt;=28,TRUE,FALSE))</f>
        <v/>
      </c>
      <c r="P185" s="15">
        <f>IF(A185="","",OR(G185=TRUE,O185=TRUE))</f>
        <v/>
      </c>
      <c r="Q185" s="16">
        <f>IF(A185="","",IFERROR(H185,0)+IFERROR(I185,0)+IFERROR(J185,0)+IFERROR(K185,0)+IFERROR(L185,0))</f>
        <v/>
      </c>
      <c r="R185" s="16">
        <f>IF(A185="","",IF(P185=TRUE,0,Q185))</f>
        <v/>
      </c>
      <c r="S185" s="16">
        <f>IF(A185="","",IF(P185=TRUE,0,IFERROR(H185,0)))</f>
        <v/>
      </c>
      <c r="T185" s="16">
        <f>IF(A185="","",IF(P185=TRUE,0,IFERROR(I185,0)))</f>
        <v/>
      </c>
      <c r="U185" s="16">
        <f>IF(A185="","",IF(P185=TRUE,0,IFERROR(J185,0)))</f>
        <v/>
      </c>
      <c r="V185" s="16">
        <f>IF(A185="","",IF(P185=TRUE,0,IFERROR(K185,0)))</f>
        <v/>
      </c>
      <c r="W185" s="16">
        <f>IF(A185="","",IF(P185=TRUE,0,IFERROR(L185,0)))</f>
        <v/>
      </c>
      <c r="X185" s="16">
        <f>IF(A185="","",IF(P185=TRUE,0,IFERROR(H185,0)+IFERROR(I185,0)+IFERROR(L185,0)))</f>
        <v/>
      </c>
      <c r="Y185" s="16">
        <f>IF(A185="",0,IF(G185=TRUE,IFERROR(H185,0)+IFERROR(I185,0)+IFERROR(J185,0)+IFERROR(K185,0)+IFERROR(L185,0),0))</f>
        <v/>
      </c>
      <c r="Z185" s="16">
        <f>IF(A185="",0,IF(AND(O185=TRUE,G185&lt;&gt;TRUE),IFERROR(H185,0)+IFERROR(I185,0)+IFERROR(J185,0)+IFERROR(K185,0)+IFERROR(L185,0),0))</f>
        <v/>
      </c>
    </row>
    <row r="186">
      <c r="A186" s="10" t="n"/>
      <c r="B186" s="10" t="n"/>
      <c r="C186" s="11" t="n"/>
      <c r="D186" s="11" t="n"/>
      <c r="E186" s="10" t="n"/>
      <c r="F186" s="10" t="n"/>
      <c r="G186" s="12" t="n"/>
      <c r="H186" s="13" t="n"/>
      <c r="I186" s="13" t="n"/>
      <c r="J186" s="13" t="n"/>
      <c r="K186" s="13" t="n"/>
      <c r="L186" s="13" t="n"/>
      <c r="M186" s="14">
        <f>IFERROR(IF(A186="","",IFERROR(VLOOKUP(A186,Raw_PriorMonth!A:E,5,FALSE),0)),0)</f>
        <v/>
      </c>
      <c r="N186" s="14">
        <f>IF(A186="","",IFERROR(E186,0)+IFERROR(M186,0))</f>
        <v/>
      </c>
      <c r="O186" s="15">
        <f>IF(A186="","",IF(N186&gt;=28,TRUE,FALSE))</f>
        <v/>
      </c>
      <c r="P186" s="15">
        <f>IF(A186="","",OR(G186=TRUE,O186=TRUE))</f>
        <v/>
      </c>
      <c r="Q186" s="16">
        <f>IF(A186="","",IFERROR(H186,0)+IFERROR(I186,0)+IFERROR(J186,0)+IFERROR(K186,0)+IFERROR(L186,0))</f>
        <v/>
      </c>
      <c r="R186" s="16">
        <f>IF(A186="","",IF(P186=TRUE,0,Q186))</f>
        <v/>
      </c>
      <c r="S186" s="16">
        <f>IF(A186="","",IF(P186=TRUE,0,IFERROR(H186,0)))</f>
        <v/>
      </c>
      <c r="T186" s="16">
        <f>IF(A186="","",IF(P186=TRUE,0,IFERROR(I186,0)))</f>
        <v/>
      </c>
      <c r="U186" s="16">
        <f>IF(A186="","",IF(P186=TRUE,0,IFERROR(J186,0)))</f>
        <v/>
      </c>
      <c r="V186" s="16">
        <f>IF(A186="","",IF(P186=TRUE,0,IFERROR(K186,0)))</f>
        <v/>
      </c>
      <c r="W186" s="16">
        <f>IF(A186="","",IF(P186=TRUE,0,IFERROR(L186,0)))</f>
        <v/>
      </c>
      <c r="X186" s="16">
        <f>IF(A186="","",IF(P186=TRUE,0,IFERROR(H186,0)+IFERROR(I186,0)+IFERROR(L186,0)))</f>
        <v/>
      </c>
      <c r="Y186" s="16">
        <f>IF(A186="",0,IF(G186=TRUE,IFERROR(H186,0)+IFERROR(I186,0)+IFERROR(J186,0)+IFERROR(K186,0)+IFERROR(L186,0),0))</f>
        <v/>
      </c>
      <c r="Z186" s="16">
        <f>IF(A186="",0,IF(AND(O186=TRUE,G186&lt;&gt;TRUE),IFERROR(H186,0)+IFERROR(I186,0)+IFERROR(J186,0)+IFERROR(K186,0)+IFERROR(L186,0),0))</f>
        <v/>
      </c>
    </row>
    <row r="187">
      <c r="A187" s="10" t="n"/>
      <c r="B187" s="10" t="n"/>
      <c r="C187" s="11" t="n"/>
      <c r="D187" s="11" t="n"/>
      <c r="E187" s="10" t="n"/>
      <c r="F187" s="10" t="n"/>
      <c r="G187" s="12" t="n"/>
      <c r="H187" s="13" t="n"/>
      <c r="I187" s="13" t="n"/>
      <c r="J187" s="13" t="n"/>
      <c r="K187" s="13" t="n"/>
      <c r="L187" s="13" t="n"/>
      <c r="M187" s="14">
        <f>IFERROR(IF(A187="","",IFERROR(VLOOKUP(A187,Raw_PriorMonth!A:E,5,FALSE),0)),0)</f>
        <v/>
      </c>
      <c r="N187" s="14">
        <f>IF(A187="","",IFERROR(E187,0)+IFERROR(M187,0))</f>
        <v/>
      </c>
      <c r="O187" s="15">
        <f>IF(A187="","",IF(N187&gt;=28,TRUE,FALSE))</f>
        <v/>
      </c>
      <c r="P187" s="15">
        <f>IF(A187="","",OR(G187=TRUE,O187=TRUE))</f>
        <v/>
      </c>
      <c r="Q187" s="16">
        <f>IF(A187="","",IFERROR(H187,0)+IFERROR(I187,0)+IFERROR(J187,0)+IFERROR(K187,0)+IFERROR(L187,0))</f>
        <v/>
      </c>
      <c r="R187" s="16">
        <f>IF(A187="","",IF(P187=TRUE,0,Q187))</f>
        <v/>
      </c>
      <c r="S187" s="16">
        <f>IF(A187="","",IF(P187=TRUE,0,IFERROR(H187,0)))</f>
        <v/>
      </c>
      <c r="T187" s="16">
        <f>IF(A187="","",IF(P187=TRUE,0,IFERROR(I187,0)))</f>
        <v/>
      </c>
      <c r="U187" s="16">
        <f>IF(A187="","",IF(P187=TRUE,0,IFERROR(J187,0)))</f>
        <v/>
      </c>
      <c r="V187" s="16">
        <f>IF(A187="","",IF(P187=TRUE,0,IFERROR(K187,0)))</f>
        <v/>
      </c>
      <c r="W187" s="16">
        <f>IF(A187="","",IF(P187=TRUE,0,IFERROR(L187,0)))</f>
        <v/>
      </c>
      <c r="X187" s="16">
        <f>IF(A187="","",IF(P187=TRUE,0,IFERROR(H187,0)+IFERROR(I187,0)+IFERROR(L187,0)))</f>
        <v/>
      </c>
      <c r="Y187" s="16">
        <f>IF(A187="",0,IF(G187=TRUE,IFERROR(H187,0)+IFERROR(I187,0)+IFERROR(J187,0)+IFERROR(K187,0)+IFERROR(L187,0),0))</f>
        <v/>
      </c>
      <c r="Z187" s="16">
        <f>IF(A187="",0,IF(AND(O187=TRUE,G187&lt;&gt;TRUE),IFERROR(H187,0)+IFERROR(I187,0)+IFERROR(J187,0)+IFERROR(K187,0)+IFERROR(L187,0),0))</f>
        <v/>
      </c>
    </row>
    <row r="188">
      <c r="A188" s="10" t="n"/>
      <c r="B188" s="10" t="n"/>
      <c r="C188" s="11" t="n"/>
      <c r="D188" s="11" t="n"/>
      <c r="E188" s="10" t="n"/>
      <c r="F188" s="10" t="n"/>
      <c r="G188" s="12" t="n"/>
      <c r="H188" s="13" t="n"/>
      <c r="I188" s="13" t="n"/>
      <c r="J188" s="13" t="n"/>
      <c r="K188" s="13" t="n"/>
      <c r="L188" s="13" t="n"/>
      <c r="M188" s="14">
        <f>IFERROR(IF(A188="","",IFERROR(VLOOKUP(A188,Raw_PriorMonth!A:E,5,FALSE),0)),0)</f>
        <v/>
      </c>
      <c r="N188" s="14">
        <f>IF(A188="","",IFERROR(E188,0)+IFERROR(M188,0))</f>
        <v/>
      </c>
      <c r="O188" s="15">
        <f>IF(A188="","",IF(N188&gt;=28,TRUE,FALSE))</f>
        <v/>
      </c>
      <c r="P188" s="15">
        <f>IF(A188="","",OR(G188=TRUE,O188=TRUE))</f>
        <v/>
      </c>
      <c r="Q188" s="16">
        <f>IF(A188="","",IFERROR(H188,0)+IFERROR(I188,0)+IFERROR(J188,0)+IFERROR(K188,0)+IFERROR(L188,0))</f>
        <v/>
      </c>
      <c r="R188" s="16">
        <f>IF(A188="","",IF(P188=TRUE,0,Q188))</f>
        <v/>
      </c>
      <c r="S188" s="16">
        <f>IF(A188="","",IF(P188=TRUE,0,IFERROR(H188,0)))</f>
        <v/>
      </c>
      <c r="T188" s="16">
        <f>IF(A188="","",IF(P188=TRUE,0,IFERROR(I188,0)))</f>
        <v/>
      </c>
      <c r="U188" s="16">
        <f>IF(A188="","",IF(P188=TRUE,0,IFERROR(J188,0)))</f>
        <v/>
      </c>
      <c r="V188" s="16">
        <f>IF(A188="","",IF(P188=TRUE,0,IFERROR(K188,0)))</f>
        <v/>
      </c>
      <c r="W188" s="16">
        <f>IF(A188="","",IF(P188=TRUE,0,IFERROR(L188,0)))</f>
        <v/>
      </c>
      <c r="X188" s="16">
        <f>IF(A188="","",IF(P188=TRUE,0,IFERROR(H188,0)+IFERROR(I188,0)+IFERROR(L188,0)))</f>
        <v/>
      </c>
      <c r="Y188" s="16">
        <f>IF(A188="",0,IF(G188=TRUE,IFERROR(H188,0)+IFERROR(I188,0)+IFERROR(J188,0)+IFERROR(K188,0)+IFERROR(L188,0),0))</f>
        <v/>
      </c>
      <c r="Z188" s="16">
        <f>IF(A188="",0,IF(AND(O188=TRUE,G188&lt;&gt;TRUE),IFERROR(H188,0)+IFERROR(I188,0)+IFERROR(J188,0)+IFERROR(K188,0)+IFERROR(L188,0),0))</f>
        <v/>
      </c>
    </row>
    <row r="189">
      <c r="A189" s="10" t="n"/>
      <c r="B189" s="10" t="n"/>
      <c r="C189" s="11" t="n"/>
      <c r="D189" s="11" t="n"/>
      <c r="E189" s="10" t="n"/>
      <c r="F189" s="10" t="n"/>
      <c r="G189" s="12" t="n"/>
      <c r="H189" s="13" t="n"/>
      <c r="I189" s="13" t="n"/>
      <c r="J189" s="13" t="n"/>
      <c r="K189" s="13" t="n"/>
      <c r="L189" s="13" t="n"/>
      <c r="M189" s="14">
        <f>IFERROR(IF(A189="","",IFERROR(VLOOKUP(A189,Raw_PriorMonth!A:E,5,FALSE),0)),0)</f>
        <v/>
      </c>
      <c r="N189" s="14">
        <f>IF(A189="","",IFERROR(E189,0)+IFERROR(M189,0))</f>
        <v/>
      </c>
      <c r="O189" s="15">
        <f>IF(A189="","",IF(N189&gt;=28,TRUE,FALSE))</f>
        <v/>
      </c>
      <c r="P189" s="15">
        <f>IF(A189="","",OR(G189=TRUE,O189=TRUE))</f>
        <v/>
      </c>
      <c r="Q189" s="16">
        <f>IF(A189="","",IFERROR(H189,0)+IFERROR(I189,0)+IFERROR(J189,0)+IFERROR(K189,0)+IFERROR(L189,0))</f>
        <v/>
      </c>
      <c r="R189" s="16">
        <f>IF(A189="","",IF(P189=TRUE,0,Q189))</f>
        <v/>
      </c>
      <c r="S189" s="16">
        <f>IF(A189="","",IF(P189=TRUE,0,IFERROR(H189,0)))</f>
        <v/>
      </c>
      <c r="T189" s="16">
        <f>IF(A189="","",IF(P189=TRUE,0,IFERROR(I189,0)))</f>
        <v/>
      </c>
      <c r="U189" s="16">
        <f>IF(A189="","",IF(P189=TRUE,0,IFERROR(J189,0)))</f>
        <v/>
      </c>
      <c r="V189" s="16">
        <f>IF(A189="","",IF(P189=TRUE,0,IFERROR(K189,0)))</f>
        <v/>
      </c>
      <c r="W189" s="16">
        <f>IF(A189="","",IF(P189=TRUE,0,IFERROR(L189,0)))</f>
        <v/>
      </c>
      <c r="X189" s="16">
        <f>IF(A189="","",IF(P189=TRUE,0,IFERROR(H189,0)+IFERROR(I189,0)+IFERROR(L189,0)))</f>
        <v/>
      </c>
      <c r="Y189" s="16">
        <f>IF(A189="",0,IF(G189=TRUE,IFERROR(H189,0)+IFERROR(I189,0)+IFERROR(J189,0)+IFERROR(K189,0)+IFERROR(L189,0),0))</f>
        <v/>
      </c>
      <c r="Z189" s="16">
        <f>IF(A189="",0,IF(AND(O189=TRUE,G189&lt;&gt;TRUE),IFERROR(H189,0)+IFERROR(I189,0)+IFERROR(J189,0)+IFERROR(K189,0)+IFERROR(L189,0),0))</f>
        <v/>
      </c>
    </row>
    <row r="190">
      <c r="A190" s="10" t="n"/>
      <c r="B190" s="10" t="n"/>
      <c r="C190" s="11" t="n"/>
      <c r="D190" s="11" t="n"/>
      <c r="E190" s="10" t="n"/>
      <c r="F190" s="10" t="n"/>
      <c r="G190" s="12" t="n"/>
      <c r="H190" s="13" t="n"/>
      <c r="I190" s="13" t="n"/>
      <c r="J190" s="13" t="n"/>
      <c r="K190" s="13" t="n"/>
      <c r="L190" s="13" t="n"/>
      <c r="M190" s="14">
        <f>IFERROR(IF(A190="","",IFERROR(VLOOKUP(A190,Raw_PriorMonth!A:E,5,FALSE),0)),0)</f>
        <v/>
      </c>
      <c r="N190" s="14">
        <f>IF(A190="","",IFERROR(E190,0)+IFERROR(M190,0))</f>
        <v/>
      </c>
      <c r="O190" s="15">
        <f>IF(A190="","",IF(N190&gt;=28,TRUE,FALSE))</f>
        <v/>
      </c>
      <c r="P190" s="15">
        <f>IF(A190="","",OR(G190=TRUE,O190=TRUE))</f>
        <v/>
      </c>
      <c r="Q190" s="16">
        <f>IF(A190="","",IFERROR(H190,0)+IFERROR(I190,0)+IFERROR(J190,0)+IFERROR(K190,0)+IFERROR(L190,0))</f>
        <v/>
      </c>
      <c r="R190" s="16">
        <f>IF(A190="","",IF(P190=TRUE,0,Q190))</f>
        <v/>
      </c>
      <c r="S190" s="16">
        <f>IF(A190="","",IF(P190=TRUE,0,IFERROR(H190,0)))</f>
        <v/>
      </c>
      <c r="T190" s="16">
        <f>IF(A190="","",IF(P190=TRUE,0,IFERROR(I190,0)))</f>
        <v/>
      </c>
      <c r="U190" s="16">
        <f>IF(A190="","",IF(P190=TRUE,0,IFERROR(J190,0)))</f>
        <v/>
      </c>
      <c r="V190" s="16">
        <f>IF(A190="","",IF(P190=TRUE,0,IFERROR(K190,0)))</f>
        <v/>
      </c>
      <c r="W190" s="16">
        <f>IF(A190="","",IF(P190=TRUE,0,IFERROR(L190,0)))</f>
        <v/>
      </c>
      <c r="X190" s="16">
        <f>IF(A190="","",IF(P190=TRUE,0,IFERROR(H190,0)+IFERROR(I190,0)+IFERROR(L190,0)))</f>
        <v/>
      </c>
      <c r="Y190" s="16">
        <f>IF(A190="",0,IF(G190=TRUE,IFERROR(H190,0)+IFERROR(I190,0)+IFERROR(J190,0)+IFERROR(K190,0)+IFERROR(L190,0),0))</f>
        <v/>
      </c>
      <c r="Z190" s="16">
        <f>IF(A190="",0,IF(AND(O190=TRUE,G190&lt;&gt;TRUE),IFERROR(H190,0)+IFERROR(I190,0)+IFERROR(J190,0)+IFERROR(K190,0)+IFERROR(L190,0),0))</f>
        <v/>
      </c>
    </row>
    <row r="191">
      <c r="A191" s="10" t="n"/>
      <c r="B191" s="10" t="n"/>
      <c r="C191" s="11" t="n"/>
      <c r="D191" s="11" t="n"/>
      <c r="E191" s="10" t="n"/>
      <c r="F191" s="10" t="n"/>
      <c r="G191" s="12" t="n"/>
      <c r="H191" s="13" t="n"/>
      <c r="I191" s="13" t="n"/>
      <c r="J191" s="13" t="n"/>
      <c r="K191" s="13" t="n"/>
      <c r="L191" s="13" t="n"/>
      <c r="M191" s="14">
        <f>IFERROR(IF(A191="","",IFERROR(VLOOKUP(A191,Raw_PriorMonth!A:E,5,FALSE),0)),0)</f>
        <v/>
      </c>
      <c r="N191" s="14">
        <f>IF(A191="","",IFERROR(E191,0)+IFERROR(M191,0))</f>
        <v/>
      </c>
      <c r="O191" s="15">
        <f>IF(A191="","",IF(N191&gt;=28,TRUE,FALSE))</f>
        <v/>
      </c>
      <c r="P191" s="15">
        <f>IF(A191="","",OR(G191=TRUE,O191=TRUE))</f>
        <v/>
      </c>
      <c r="Q191" s="16">
        <f>IF(A191="","",IFERROR(H191,0)+IFERROR(I191,0)+IFERROR(J191,0)+IFERROR(K191,0)+IFERROR(L191,0))</f>
        <v/>
      </c>
      <c r="R191" s="16">
        <f>IF(A191="","",IF(P191=TRUE,0,Q191))</f>
        <v/>
      </c>
      <c r="S191" s="16">
        <f>IF(A191="","",IF(P191=TRUE,0,IFERROR(H191,0)))</f>
        <v/>
      </c>
      <c r="T191" s="16">
        <f>IF(A191="","",IF(P191=TRUE,0,IFERROR(I191,0)))</f>
        <v/>
      </c>
      <c r="U191" s="16">
        <f>IF(A191="","",IF(P191=TRUE,0,IFERROR(J191,0)))</f>
        <v/>
      </c>
      <c r="V191" s="16">
        <f>IF(A191="","",IF(P191=TRUE,0,IFERROR(K191,0)))</f>
        <v/>
      </c>
      <c r="W191" s="16">
        <f>IF(A191="","",IF(P191=TRUE,0,IFERROR(L191,0)))</f>
        <v/>
      </c>
      <c r="X191" s="16">
        <f>IF(A191="","",IF(P191=TRUE,0,IFERROR(H191,0)+IFERROR(I191,0)+IFERROR(L191,0)))</f>
        <v/>
      </c>
      <c r="Y191" s="16">
        <f>IF(A191="",0,IF(G191=TRUE,IFERROR(H191,0)+IFERROR(I191,0)+IFERROR(J191,0)+IFERROR(K191,0)+IFERROR(L191,0),0))</f>
        <v/>
      </c>
      <c r="Z191" s="16">
        <f>IF(A191="",0,IF(AND(O191=TRUE,G191&lt;&gt;TRUE),IFERROR(H191,0)+IFERROR(I191,0)+IFERROR(J191,0)+IFERROR(K191,0)+IFERROR(L191,0),0))</f>
        <v/>
      </c>
    </row>
    <row r="192">
      <c r="A192" s="10" t="n"/>
      <c r="B192" s="10" t="n"/>
      <c r="C192" s="11" t="n"/>
      <c r="D192" s="11" t="n"/>
      <c r="E192" s="10" t="n"/>
      <c r="F192" s="10" t="n"/>
      <c r="G192" s="12" t="n"/>
      <c r="H192" s="13" t="n"/>
      <c r="I192" s="13" t="n"/>
      <c r="J192" s="13" t="n"/>
      <c r="K192" s="13" t="n"/>
      <c r="L192" s="13" t="n"/>
      <c r="M192" s="14">
        <f>IFERROR(IF(A192="","",IFERROR(VLOOKUP(A192,Raw_PriorMonth!A:E,5,FALSE),0)),0)</f>
        <v/>
      </c>
      <c r="N192" s="14">
        <f>IF(A192="","",IFERROR(E192,0)+IFERROR(M192,0))</f>
        <v/>
      </c>
      <c r="O192" s="15">
        <f>IF(A192="","",IF(N192&gt;=28,TRUE,FALSE))</f>
        <v/>
      </c>
      <c r="P192" s="15">
        <f>IF(A192="","",OR(G192=TRUE,O192=TRUE))</f>
        <v/>
      </c>
      <c r="Q192" s="16">
        <f>IF(A192="","",IFERROR(H192,0)+IFERROR(I192,0)+IFERROR(J192,0)+IFERROR(K192,0)+IFERROR(L192,0))</f>
        <v/>
      </c>
      <c r="R192" s="16">
        <f>IF(A192="","",IF(P192=TRUE,0,Q192))</f>
        <v/>
      </c>
      <c r="S192" s="16">
        <f>IF(A192="","",IF(P192=TRUE,0,IFERROR(H192,0)))</f>
        <v/>
      </c>
      <c r="T192" s="16">
        <f>IF(A192="","",IF(P192=TRUE,0,IFERROR(I192,0)))</f>
        <v/>
      </c>
      <c r="U192" s="16">
        <f>IF(A192="","",IF(P192=TRUE,0,IFERROR(J192,0)))</f>
        <v/>
      </c>
      <c r="V192" s="16">
        <f>IF(A192="","",IF(P192=TRUE,0,IFERROR(K192,0)))</f>
        <v/>
      </c>
      <c r="W192" s="16">
        <f>IF(A192="","",IF(P192=TRUE,0,IFERROR(L192,0)))</f>
        <v/>
      </c>
      <c r="X192" s="16">
        <f>IF(A192="","",IF(P192=TRUE,0,IFERROR(H192,0)+IFERROR(I192,0)+IFERROR(L192,0)))</f>
        <v/>
      </c>
      <c r="Y192" s="16">
        <f>IF(A192="",0,IF(G192=TRUE,IFERROR(H192,0)+IFERROR(I192,0)+IFERROR(J192,0)+IFERROR(K192,0)+IFERROR(L192,0),0))</f>
        <v/>
      </c>
      <c r="Z192" s="16">
        <f>IF(A192="",0,IF(AND(O192=TRUE,G192&lt;&gt;TRUE),IFERROR(H192,0)+IFERROR(I192,0)+IFERROR(J192,0)+IFERROR(K192,0)+IFERROR(L192,0),0))</f>
        <v/>
      </c>
    </row>
    <row r="193">
      <c r="A193" s="10" t="n"/>
      <c r="B193" s="10" t="n"/>
      <c r="C193" s="11" t="n"/>
      <c r="D193" s="11" t="n"/>
      <c r="E193" s="10" t="n"/>
      <c r="F193" s="10" t="n"/>
      <c r="G193" s="12" t="n"/>
      <c r="H193" s="13" t="n"/>
      <c r="I193" s="13" t="n"/>
      <c r="J193" s="13" t="n"/>
      <c r="K193" s="13" t="n"/>
      <c r="L193" s="13" t="n"/>
      <c r="M193" s="14">
        <f>IFERROR(IF(A193="","",IFERROR(VLOOKUP(A193,Raw_PriorMonth!A:E,5,FALSE),0)),0)</f>
        <v/>
      </c>
      <c r="N193" s="14">
        <f>IF(A193="","",IFERROR(E193,0)+IFERROR(M193,0))</f>
        <v/>
      </c>
      <c r="O193" s="15">
        <f>IF(A193="","",IF(N193&gt;=28,TRUE,FALSE))</f>
        <v/>
      </c>
      <c r="P193" s="15">
        <f>IF(A193="","",OR(G193=TRUE,O193=TRUE))</f>
        <v/>
      </c>
      <c r="Q193" s="16">
        <f>IF(A193="","",IFERROR(H193,0)+IFERROR(I193,0)+IFERROR(J193,0)+IFERROR(K193,0)+IFERROR(L193,0))</f>
        <v/>
      </c>
      <c r="R193" s="16">
        <f>IF(A193="","",IF(P193=TRUE,0,Q193))</f>
        <v/>
      </c>
      <c r="S193" s="16">
        <f>IF(A193="","",IF(P193=TRUE,0,IFERROR(H193,0)))</f>
        <v/>
      </c>
      <c r="T193" s="16">
        <f>IF(A193="","",IF(P193=TRUE,0,IFERROR(I193,0)))</f>
        <v/>
      </c>
      <c r="U193" s="16">
        <f>IF(A193="","",IF(P193=TRUE,0,IFERROR(J193,0)))</f>
        <v/>
      </c>
      <c r="V193" s="16">
        <f>IF(A193="","",IF(P193=TRUE,0,IFERROR(K193,0)))</f>
        <v/>
      </c>
      <c r="W193" s="16">
        <f>IF(A193="","",IF(P193=TRUE,0,IFERROR(L193,0)))</f>
        <v/>
      </c>
      <c r="X193" s="16">
        <f>IF(A193="","",IF(P193=TRUE,0,IFERROR(H193,0)+IFERROR(I193,0)+IFERROR(L193,0)))</f>
        <v/>
      </c>
      <c r="Y193" s="16">
        <f>IF(A193="",0,IF(G193=TRUE,IFERROR(H193,0)+IFERROR(I193,0)+IFERROR(J193,0)+IFERROR(K193,0)+IFERROR(L193,0),0))</f>
        <v/>
      </c>
      <c r="Z193" s="16">
        <f>IF(A193="",0,IF(AND(O193=TRUE,G193&lt;&gt;TRUE),IFERROR(H193,0)+IFERROR(I193,0)+IFERROR(J193,0)+IFERROR(K193,0)+IFERROR(L193,0),0))</f>
        <v/>
      </c>
    </row>
    <row r="194">
      <c r="A194" s="10" t="n"/>
      <c r="B194" s="10" t="n"/>
      <c r="C194" s="11" t="n"/>
      <c r="D194" s="11" t="n"/>
      <c r="E194" s="10" t="n"/>
      <c r="F194" s="10" t="n"/>
      <c r="G194" s="12" t="n"/>
      <c r="H194" s="13" t="n"/>
      <c r="I194" s="13" t="n"/>
      <c r="J194" s="13" t="n"/>
      <c r="K194" s="13" t="n"/>
      <c r="L194" s="13" t="n"/>
      <c r="M194" s="14">
        <f>IFERROR(IF(A194="","",IFERROR(VLOOKUP(A194,Raw_PriorMonth!A:E,5,FALSE),0)),0)</f>
        <v/>
      </c>
      <c r="N194" s="14">
        <f>IF(A194="","",IFERROR(E194,0)+IFERROR(M194,0))</f>
        <v/>
      </c>
      <c r="O194" s="15">
        <f>IF(A194="","",IF(N194&gt;=28,TRUE,FALSE))</f>
        <v/>
      </c>
      <c r="P194" s="15">
        <f>IF(A194="","",OR(G194=TRUE,O194=TRUE))</f>
        <v/>
      </c>
      <c r="Q194" s="16">
        <f>IF(A194="","",IFERROR(H194,0)+IFERROR(I194,0)+IFERROR(J194,0)+IFERROR(K194,0)+IFERROR(L194,0))</f>
        <v/>
      </c>
      <c r="R194" s="16">
        <f>IF(A194="","",IF(P194=TRUE,0,Q194))</f>
        <v/>
      </c>
      <c r="S194" s="16">
        <f>IF(A194="","",IF(P194=TRUE,0,IFERROR(H194,0)))</f>
        <v/>
      </c>
      <c r="T194" s="16">
        <f>IF(A194="","",IF(P194=TRUE,0,IFERROR(I194,0)))</f>
        <v/>
      </c>
      <c r="U194" s="16">
        <f>IF(A194="","",IF(P194=TRUE,0,IFERROR(J194,0)))</f>
        <v/>
      </c>
      <c r="V194" s="16">
        <f>IF(A194="","",IF(P194=TRUE,0,IFERROR(K194,0)))</f>
        <v/>
      </c>
      <c r="W194" s="16">
        <f>IF(A194="","",IF(P194=TRUE,0,IFERROR(L194,0)))</f>
        <v/>
      </c>
      <c r="X194" s="16">
        <f>IF(A194="","",IF(P194=TRUE,0,IFERROR(H194,0)+IFERROR(I194,0)+IFERROR(L194,0)))</f>
        <v/>
      </c>
      <c r="Y194" s="16">
        <f>IF(A194="",0,IF(G194=TRUE,IFERROR(H194,0)+IFERROR(I194,0)+IFERROR(J194,0)+IFERROR(K194,0)+IFERROR(L194,0),0))</f>
        <v/>
      </c>
      <c r="Z194" s="16">
        <f>IF(A194="",0,IF(AND(O194=TRUE,G194&lt;&gt;TRUE),IFERROR(H194,0)+IFERROR(I194,0)+IFERROR(J194,0)+IFERROR(K194,0)+IFERROR(L194,0),0))</f>
        <v/>
      </c>
    </row>
    <row r="195">
      <c r="A195" s="10" t="n"/>
      <c r="B195" s="10" t="n"/>
      <c r="C195" s="11" t="n"/>
      <c r="D195" s="11" t="n"/>
      <c r="E195" s="10" t="n"/>
      <c r="F195" s="10" t="n"/>
      <c r="G195" s="12" t="n"/>
      <c r="H195" s="13" t="n"/>
      <c r="I195" s="13" t="n"/>
      <c r="J195" s="13" t="n"/>
      <c r="K195" s="13" t="n"/>
      <c r="L195" s="13" t="n"/>
      <c r="M195" s="14">
        <f>IFERROR(IF(A195="","",IFERROR(VLOOKUP(A195,Raw_PriorMonth!A:E,5,FALSE),0)),0)</f>
        <v/>
      </c>
      <c r="N195" s="14">
        <f>IF(A195="","",IFERROR(E195,0)+IFERROR(M195,0))</f>
        <v/>
      </c>
      <c r="O195" s="15">
        <f>IF(A195="","",IF(N195&gt;=28,TRUE,FALSE))</f>
        <v/>
      </c>
      <c r="P195" s="15">
        <f>IF(A195="","",OR(G195=TRUE,O195=TRUE))</f>
        <v/>
      </c>
      <c r="Q195" s="16">
        <f>IF(A195="","",IFERROR(H195,0)+IFERROR(I195,0)+IFERROR(J195,0)+IFERROR(K195,0)+IFERROR(L195,0))</f>
        <v/>
      </c>
      <c r="R195" s="16">
        <f>IF(A195="","",IF(P195=TRUE,0,Q195))</f>
        <v/>
      </c>
      <c r="S195" s="16">
        <f>IF(A195="","",IF(P195=TRUE,0,IFERROR(H195,0)))</f>
        <v/>
      </c>
      <c r="T195" s="16">
        <f>IF(A195="","",IF(P195=TRUE,0,IFERROR(I195,0)))</f>
        <v/>
      </c>
      <c r="U195" s="16">
        <f>IF(A195="","",IF(P195=TRUE,0,IFERROR(J195,0)))</f>
        <v/>
      </c>
      <c r="V195" s="16">
        <f>IF(A195="","",IF(P195=TRUE,0,IFERROR(K195,0)))</f>
        <v/>
      </c>
      <c r="W195" s="16">
        <f>IF(A195="","",IF(P195=TRUE,0,IFERROR(L195,0)))</f>
        <v/>
      </c>
      <c r="X195" s="16">
        <f>IF(A195="","",IF(P195=TRUE,0,IFERROR(H195,0)+IFERROR(I195,0)+IFERROR(L195,0)))</f>
        <v/>
      </c>
      <c r="Y195" s="16">
        <f>IF(A195="",0,IF(G195=TRUE,IFERROR(H195,0)+IFERROR(I195,0)+IFERROR(J195,0)+IFERROR(K195,0)+IFERROR(L195,0),0))</f>
        <v/>
      </c>
      <c r="Z195" s="16">
        <f>IF(A195="",0,IF(AND(O195=TRUE,G195&lt;&gt;TRUE),IFERROR(H195,0)+IFERROR(I195,0)+IFERROR(J195,0)+IFERROR(K195,0)+IFERROR(L195,0),0))</f>
        <v/>
      </c>
    </row>
    <row r="196">
      <c r="A196" s="10" t="n"/>
      <c r="B196" s="10" t="n"/>
      <c r="C196" s="11" t="n"/>
      <c r="D196" s="11" t="n"/>
      <c r="E196" s="10" t="n"/>
      <c r="F196" s="10" t="n"/>
      <c r="G196" s="12" t="n"/>
      <c r="H196" s="13" t="n"/>
      <c r="I196" s="13" t="n"/>
      <c r="J196" s="13" t="n"/>
      <c r="K196" s="13" t="n"/>
      <c r="L196" s="13" t="n"/>
      <c r="M196" s="14">
        <f>IFERROR(IF(A196="","",IFERROR(VLOOKUP(A196,Raw_PriorMonth!A:E,5,FALSE),0)),0)</f>
        <v/>
      </c>
      <c r="N196" s="14">
        <f>IF(A196="","",IFERROR(E196,0)+IFERROR(M196,0))</f>
        <v/>
      </c>
      <c r="O196" s="15">
        <f>IF(A196="","",IF(N196&gt;=28,TRUE,FALSE))</f>
        <v/>
      </c>
      <c r="P196" s="15">
        <f>IF(A196="","",OR(G196=TRUE,O196=TRUE))</f>
        <v/>
      </c>
      <c r="Q196" s="16">
        <f>IF(A196="","",IFERROR(H196,0)+IFERROR(I196,0)+IFERROR(J196,0)+IFERROR(K196,0)+IFERROR(L196,0))</f>
        <v/>
      </c>
      <c r="R196" s="16">
        <f>IF(A196="","",IF(P196=TRUE,0,Q196))</f>
        <v/>
      </c>
      <c r="S196" s="16">
        <f>IF(A196="","",IF(P196=TRUE,0,IFERROR(H196,0)))</f>
        <v/>
      </c>
      <c r="T196" s="16">
        <f>IF(A196="","",IF(P196=TRUE,0,IFERROR(I196,0)))</f>
        <v/>
      </c>
      <c r="U196" s="16">
        <f>IF(A196="","",IF(P196=TRUE,0,IFERROR(J196,0)))</f>
        <v/>
      </c>
      <c r="V196" s="16">
        <f>IF(A196="","",IF(P196=TRUE,0,IFERROR(K196,0)))</f>
        <v/>
      </c>
      <c r="W196" s="16">
        <f>IF(A196="","",IF(P196=TRUE,0,IFERROR(L196,0)))</f>
        <v/>
      </c>
      <c r="X196" s="16">
        <f>IF(A196="","",IF(P196=TRUE,0,IFERROR(H196,0)+IFERROR(I196,0)+IFERROR(L196,0)))</f>
        <v/>
      </c>
      <c r="Y196" s="16">
        <f>IF(A196="",0,IF(G196=TRUE,IFERROR(H196,0)+IFERROR(I196,0)+IFERROR(J196,0)+IFERROR(K196,0)+IFERROR(L196,0),0))</f>
        <v/>
      </c>
      <c r="Z196" s="16">
        <f>IF(A196="",0,IF(AND(O196=TRUE,G196&lt;&gt;TRUE),IFERROR(H196,0)+IFERROR(I196,0)+IFERROR(J196,0)+IFERROR(K196,0)+IFERROR(L196,0),0))</f>
        <v/>
      </c>
    </row>
    <row r="197">
      <c r="A197" s="10" t="n"/>
      <c r="B197" s="10" t="n"/>
      <c r="C197" s="11" t="n"/>
      <c r="D197" s="11" t="n"/>
      <c r="E197" s="10" t="n"/>
      <c r="F197" s="10" t="n"/>
      <c r="G197" s="12" t="n"/>
      <c r="H197" s="13" t="n"/>
      <c r="I197" s="13" t="n"/>
      <c r="J197" s="13" t="n"/>
      <c r="K197" s="13" t="n"/>
      <c r="L197" s="13" t="n"/>
      <c r="M197" s="14">
        <f>IFERROR(IF(A197="","",IFERROR(VLOOKUP(A197,Raw_PriorMonth!A:E,5,FALSE),0)),0)</f>
        <v/>
      </c>
      <c r="N197" s="14">
        <f>IF(A197="","",IFERROR(E197,0)+IFERROR(M197,0))</f>
        <v/>
      </c>
      <c r="O197" s="15">
        <f>IF(A197="","",IF(N197&gt;=28,TRUE,FALSE))</f>
        <v/>
      </c>
      <c r="P197" s="15">
        <f>IF(A197="","",OR(G197=TRUE,O197=TRUE))</f>
        <v/>
      </c>
      <c r="Q197" s="16">
        <f>IF(A197="","",IFERROR(H197,0)+IFERROR(I197,0)+IFERROR(J197,0)+IFERROR(K197,0)+IFERROR(L197,0))</f>
        <v/>
      </c>
      <c r="R197" s="16">
        <f>IF(A197="","",IF(P197=TRUE,0,Q197))</f>
        <v/>
      </c>
      <c r="S197" s="16">
        <f>IF(A197="","",IF(P197=TRUE,0,IFERROR(H197,0)))</f>
        <v/>
      </c>
      <c r="T197" s="16">
        <f>IF(A197="","",IF(P197=TRUE,0,IFERROR(I197,0)))</f>
        <v/>
      </c>
      <c r="U197" s="16">
        <f>IF(A197="","",IF(P197=TRUE,0,IFERROR(J197,0)))</f>
        <v/>
      </c>
      <c r="V197" s="16">
        <f>IF(A197="","",IF(P197=TRUE,0,IFERROR(K197,0)))</f>
        <v/>
      </c>
      <c r="W197" s="16">
        <f>IF(A197="","",IF(P197=TRUE,0,IFERROR(L197,0)))</f>
        <v/>
      </c>
      <c r="X197" s="16">
        <f>IF(A197="","",IF(P197=TRUE,0,IFERROR(H197,0)+IFERROR(I197,0)+IFERROR(L197,0)))</f>
        <v/>
      </c>
      <c r="Y197" s="16">
        <f>IF(A197="",0,IF(G197=TRUE,IFERROR(H197,0)+IFERROR(I197,0)+IFERROR(J197,0)+IFERROR(K197,0)+IFERROR(L197,0),0))</f>
        <v/>
      </c>
      <c r="Z197" s="16">
        <f>IF(A197="",0,IF(AND(O197=TRUE,G197&lt;&gt;TRUE),IFERROR(H197,0)+IFERROR(I197,0)+IFERROR(J197,0)+IFERROR(K197,0)+IFERROR(L197,0),0))</f>
        <v/>
      </c>
    </row>
    <row r="198">
      <c r="A198" s="10" t="n"/>
      <c r="B198" s="10" t="n"/>
      <c r="C198" s="11" t="n"/>
      <c r="D198" s="11" t="n"/>
      <c r="E198" s="10" t="n"/>
      <c r="F198" s="10" t="n"/>
      <c r="G198" s="12" t="n"/>
      <c r="H198" s="13" t="n"/>
      <c r="I198" s="13" t="n"/>
      <c r="J198" s="13" t="n"/>
      <c r="K198" s="13" t="n"/>
      <c r="L198" s="13" t="n"/>
      <c r="M198" s="14">
        <f>IFERROR(IF(A198="","",IFERROR(VLOOKUP(A198,Raw_PriorMonth!A:E,5,FALSE),0)),0)</f>
        <v/>
      </c>
      <c r="N198" s="14">
        <f>IF(A198="","",IFERROR(E198,0)+IFERROR(M198,0))</f>
        <v/>
      </c>
      <c r="O198" s="15">
        <f>IF(A198="","",IF(N198&gt;=28,TRUE,FALSE))</f>
        <v/>
      </c>
      <c r="P198" s="15">
        <f>IF(A198="","",OR(G198=TRUE,O198=TRUE))</f>
        <v/>
      </c>
      <c r="Q198" s="16">
        <f>IF(A198="","",IFERROR(H198,0)+IFERROR(I198,0)+IFERROR(J198,0)+IFERROR(K198,0)+IFERROR(L198,0))</f>
        <v/>
      </c>
      <c r="R198" s="16">
        <f>IF(A198="","",IF(P198=TRUE,0,Q198))</f>
        <v/>
      </c>
      <c r="S198" s="16">
        <f>IF(A198="","",IF(P198=TRUE,0,IFERROR(H198,0)))</f>
        <v/>
      </c>
      <c r="T198" s="16">
        <f>IF(A198="","",IF(P198=TRUE,0,IFERROR(I198,0)))</f>
        <v/>
      </c>
      <c r="U198" s="16">
        <f>IF(A198="","",IF(P198=TRUE,0,IFERROR(J198,0)))</f>
        <v/>
      </c>
      <c r="V198" s="16">
        <f>IF(A198="","",IF(P198=TRUE,0,IFERROR(K198,0)))</f>
        <v/>
      </c>
      <c r="W198" s="16">
        <f>IF(A198="","",IF(P198=TRUE,0,IFERROR(L198,0)))</f>
        <v/>
      </c>
      <c r="X198" s="16">
        <f>IF(A198="","",IF(P198=TRUE,0,IFERROR(H198,0)+IFERROR(I198,0)+IFERROR(L198,0)))</f>
        <v/>
      </c>
      <c r="Y198" s="16">
        <f>IF(A198="",0,IF(G198=TRUE,IFERROR(H198,0)+IFERROR(I198,0)+IFERROR(J198,0)+IFERROR(K198,0)+IFERROR(L198,0),0))</f>
        <v/>
      </c>
      <c r="Z198" s="16">
        <f>IF(A198="",0,IF(AND(O198=TRUE,G198&lt;&gt;TRUE),IFERROR(H198,0)+IFERROR(I198,0)+IFERROR(J198,0)+IFERROR(K198,0)+IFERROR(L198,0),0))</f>
        <v/>
      </c>
    </row>
    <row r="199">
      <c r="A199" s="10" t="n"/>
      <c r="B199" s="10" t="n"/>
      <c r="C199" s="11" t="n"/>
      <c r="D199" s="11" t="n"/>
      <c r="E199" s="10" t="n"/>
      <c r="F199" s="10" t="n"/>
      <c r="G199" s="12" t="n"/>
      <c r="H199" s="13" t="n"/>
      <c r="I199" s="13" t="n"/>
      <c r="J199" s="13" t="n"/>
      <c r="K199" s="13" t="n"/>
      <c r="L199" s="13" t="n"/>
      <c r="M199" s="14">
        <f>IFERROR(IF(A199="","",IFERROR(VLOOKUP(A199,Raw_PriorMonth!A:E,5,FALSE),0)),0)</f>
        <v/>
      </c>
      <c r="N199" s="14">
        <f>IF(A199="","",IFERROR(E199,0)+IFERROR(M199,0))</f>
        <v/>
      </c>
      <c r="O199" s="15">
        <f>IF(A199="","",IF(N199&gt;=28,TRUE,FALSE))</f>
        <v/>
      </c>
      <c r="P199" s="15">
        <f>IF(A199="","",OR(G199=TRUE,O199=TRUE))</f>
        <v/>
      </c>
      <c r="Q199" s="16">
        <f>IF(A199="","",IFERROR(H199,0)+IFERROR(I199,0)+IFERROR(J199,0)+IFERROR(K199,0)+IFERROR(L199,0))</f>
        <v/>
      </c>
      <c r="R199" s="16">
        <f>IF(A199="","",IF(P199=TRUE,0,Q199))</f>
        <v/>
      </c>
      <c r="S199" s="16">
        <f>IF(A199="","",IF(P199=TRUE,0,IFERROR(H199,0)))</f>
        <v/>
      </c>
      <c r="T199" s="16">
        <f>IF(A199="","",IF(P199=TRUE,0,IFERROR(I199,0)))</f>
        <v/>
      </c>
      <c r="U199" s="16">
        <f>IF(A199="","",IF(P199=TRUE,0,IFERROR(J199,0)))</f>
        <v/>
      </c>
      <c r="V199" s="16">
        <f>IF(A199="","",IF(P199=TRUE,0,IFERROR(K199,0)))</f>
        <v/>
      </c>
      <c r="W199" s="16">
        <f>IF(A199="","",IF(P199=TRUE,0,IFERROR(L199,0)))</f>
        <v/>
      </c>
      <c r="X199" s="16">
        <f>IF(A199="","",IF(P199=TRUE,0,IFERROR(H199,0)+IFERROR(I199,0)+IFERROR(L199,0)))</f>
        <v/>
      </c>
      <c r="Y199" s="16">
        <f>IF(A199="",0,IF(G199=TRUE,IFERROR(H199,0)+IFERROR(I199,0)+IFERROR(J199,0)+IFERROR(K199,0)+IFERROR(L199,0),0))</f>
        <v/>
      </c>
      <c r="Z199" s="16">
        <f>IF(A199="",0,IF(AND(O199=TRUE,G199&lt;&gt;TRUE),IFERROR(H199,0)+IFERROR(I199,0)+IFERROR(J199,0)+IFERROR(K199,0)+IFERROR(L199,0),0))</f>
        <v/>
      </c>
    </row>
    <row r="200">
      <c r="A200" s="10" t="n"/>
      <c r="B200" s="10" t="n"/>
      <c r="C200" s="11" t="n"/>
      <c r="D200" s="11" t="n"/>
      <c r="E200" s="10" t="n"/>
      <c r="F200" s="10" t="n"/>
      <c r="G200" s="12" t="n"/>
      <c r="H200" s="13" t="n"/>
      <c r="I200" s="13" t="n"/>
      <c r="J200" s="13" t="n"/>
      <c r="K200" s="13" t="n"/>
      <c r="L200" s="13" t="n"/>
      <c r="M200" s="14">
        <f>IFERROR(IF(A200="","",IFERROR(VLOOKUP(A200,Raw_PriorMonth!A:E,5,FALSE),0)),0)</f>
        <v/>
      </c>
      <c r="N200" s="14">
        <f>IF(A200="","",IFERROR(E200,0)+IFERROR(M200,0))</f>
        <v/>
      </c>
      <c r="O200" s="15">
        <f>IF(A200="","",IF(N200&gt;=28,TRUE,FALSE))</f>
        <v/>
      </c>
      <c r="P200" s="15">
        <f>IF(A200="","",OR(G200=TRUE,O200=TRUE))</f>
        <v/>
      </c>
      <c r="Q200" s="16">
        <f>IF(A200="","",IFERROR(H200,0)+IFERROR(I200,0)+IFERROR(J200,0)+IFERROR(K200,0)+IFERROR(L200,0))</f>
        <v/>
      </c>
      <c r="R200" s="16">
        <f>IF(A200="","",IF(P200=TRUE,0,Q200))</f>
        <v/>
      </c>
      <c r="S200" s="16">
        <f>IF(A200="","",IF(P200=TRUE,0,IFERROR(H200,0)))</f>
        <v/>
      </c>
      <c r="T200" s="16">
        <f>IF(A200="","",IF(P200=TRUE,0,IFERROR(I200,0)))</f>
        <v/>
      </c>
      <c r="U200" s="16">
        <f>IF(A200="","",IF(P200=TRUE,0,IFERROR(J200,0)))</f>
        <v/>
      </c>
      <c r="V200" s="16">
        <f>IF(A200="","",IF(P200=TRUE,0,IFERROR(K200,0)))</f>
        <v/>
      </c>
      <c r="W200" s="16">
        <f>IF(A200="","",IF(P200=TRUE,0,IFERROR(L200,0)))</f>
        <v/>
      </c>
      <c r="X200" s="16">
        <f>IF(A200="","",IF(P200=TRUE,0,IFERROR(H200,0)+IFERROR(I200,0)+IFERROR(L200,0)))</f>
        <v/>
      </c>
      <c r="Y200" s="16">
        <f>IF(A200="",0,IF(G200=TRUE,IFERROR(H200,0)+IFERROR(I200,0)+IFERROR(J200,0)+IFERROR(K200,0)+IFERROR(L200,0),0))</f>
        <v/>
      </c>
      <c r="Z200" s="16">
        <f>IF(A200="",0,IF(AND(O200=TRUE,G200&lt;&gt;TRUE),IFERROR(H200,0)+IFERROR(I200,0)+IFERROR(J200,0)+IFERROR(K200,0)+IFERROR(L200,0),0))</f>
        <v/>
      </c>
    </row>
    <row r="201">
      <c r="A201" s="10" t="n"/>
      <c r="B201" s="10" t="n"/>
      <c r="C201" s="11" t="n"/>
      <c r="D201" s="11" t="n"/>
      <c r="E201" s="10" t="n"/>
      <c r="F201" s="10" t="n"/>
      <c r="G201" s="12" t="n"/>
      <c r="H201" s="13" t="n"/>
      <c r="I201" s="13" t="n"/>
      <c r="J201" s="13" t="n"/>
      <c r="K201" s="13" t="n"/>
      <c r="L201" s="13" t="n"/>
      <c r="M201" s="14">
        <f>IFERROR(IF(A201="","",IFERROR(VLOOKUP(A201,Raw_PriorMonth!A:E,5,FALSE),0)),0)</f>
        <v/>
      </c>
      <c r="N201" s="14">
        <f>IF(A201="","",IFERROR(E201,0)+IFERROR(M201,0))</f>
        <v/>
      </c>
      <c r="O201" s="15">
        <f>IF(A201="","",IF(N201&gt;=28,TRUE,FALSE))</f>
        <v/>
      </c>
      <c r="P201" s="15">
        <f>IF(A201="","",OR(G201=TRUE,O201=TRUE))</f>
        <v/>
      </c>
      <c r="Q201" s="16">
        <f>IF(A201="","",IFERROR(H201,0)+IFERROR(I201,0)+IFERROR(J201,0)+IFERROR(K201,0)+IFERROR(L201,0))</f>
        <v/>
      </c>
      <c r="R201" s="16">
        <f>IF(A201="","",IF(P201=TRUE,0,Q201))</f>
        <v/>
      </c>
      <c r="S201" s="16">
        <f>IF(A201="","",IF(P201=TRUE,0,IFERROR(H201,0)))</f>
        <v/>
      </c>
      <c r="T201" s="16">
        <f>IF(A201="","",IF(P201=TRUE,0,IFERROR(I201,0)))</f>
        <v/>
      </c>
      <c r="U201" s="16">
        <f>IF(A201="","",IF(P201=TRUE,0,IFERROR(J201,0)))</f>
        <v/>
      </c>
      <c r="V201" s="16">
        <f>IF(A201="","",IF(P201=TRUE,0,IFERROR(K201,0)))</f>
        <v/>
      </c>
      <c r="W201" s="16">
        <f>IF(A201="","",IF(P201=TRUE,0,IFERROR(L201,0)))</f>
        <v/>
      </c>
      <c r="X201" s="16">
        <f>IF(A201="","",IF(P201=TRUE,0,IFERROR(H201,0)+IFERROR(I201,0)+IFERROR(L201,0)))</f>
        <v/>
      </c>
      <c r="Y201" s="16">
        <f>IF(A201="",0,IF(G201=TRUE,IFERROR(H201,0)+IFERROR(I201,0)+IFERROR(J201,0)+IFERROR(K201,0)+IFERROR(L201,0),0))</f>
        <v/>
      </c>
      <c r="Z201" s="16">
        <f>IF(A201="",0,IF(AND(O201=TRUE,G201&lt;&gt;TRUE),IFERROR(H201,0)+IFERROR(I201,0)+IFERROR(J201,0)+IFERROR(K201,0)+IFERROR(L201,0),0))</f>
        <v/>
      </c>
    </row>
    <row r="202">
      <c r="A202" s="10" t="n"/>
      <c r="B202" s="10" t="n"/>
      <c r="C202" s="11" t="n"/>
      <c r="D202" s="11" t="n"/>
      <c r="E202" s="10" t="n"/>
      <c r="F202" s="10" t="n"/>
      <c r="G202" s="12" t="n"/>
      <c r="H202" s="13" t="n"/>
      <c r="I202" s="13" t="n"/>
      <c r="J202" s="13" t="n"/>
      <c r="K202" s="13" t="n"/>
      <c r="L202" s="13" t="n"/>
      <c r="M202" s="14">
        <f>IFERROR(IF(A202="","",IFERROR(VLOOKUP(A202,Raw_PriorMonth!A:E,5,FALSE),0)),0)</f>
        <v/>
      </c>
      <c r="N202" s="14">
        <f>IF(A202="","",IFERROR(E202,0)+IFERROR(M202,0))</f>
        <v/>
      </c>
      <c r="O202" s="15">
        <f>IF(A202="","",IF(N202&gt;=28,TRUE,FALSE))</f>
        <v/>
      </c>
      <c r="P202" s="15">
        <f>IF(A202="","",OR(G202=TRUE,O202=TRUE))</f>
        <v/>
      </c>
      <c r="Q202" s="16">
        <f>IF(A202="","",IFERROR(H202,0)+IFERROR(I202,0)+IFERROR(J202,0)+IFERROR(K202,0)+IFERROR(L202,0))</f>
        <v/>
      </c>
      <c r="R202" s="16">
        <f>IF(A202="","",IF(P202=TRUE,0,Q202))</f>
        <v/>
      </c>
      <c r="S202" s="16">
        <f>IF(A202="","",IF(P202=TRUE,0,IFERROR(H202,0)))</f>
        <v/>
      </c>
      <c r="T202" s="16">
        <f>IF(A202="","",IF(P202=TRUE,0,IFERROR(I202,0)))</f>
        <v/>
      </c>
      <c r="U202" s="16">
        <f>IF(A202="","",IF(P202=TRUE,0,IFERROR(J202,0)))</f>
        <v/>
      </c>
      <c r="V202" s="16">
        <f>IF(A202="","",IF(P202=TRUE,0,IFERROR(K202,0)))</f>
        <v/>
      </c>
      <c r="W202" s="16">
        <f>IF(A202="","",IF(P202=TRUE,0,IFERROR(L202,0)))</f>
        <v/>
      </c>
      <c r="X202" s="16">
        <f>IF(A202="","",IF(P202=TRUE,0,IFERROR(H202,0)+IFERROR(I202,0)+IFERROR(L202,0)))</f>
        <v/>
      </c>
      <c r="Y202" s="16">
        <f>IF(A202="",0,IF(G202=TRUE,IFERROR(H202,0)+IFERROR(I202,0)+IFERROR(J202,0)+IFERROR(K202,0)+IFERROR(L202,0),0))</f>
        <v/>
      </c>
      <c r="Z202" s="16">
        <f>IF(A202="",0,IF(AND(O202=TRUE,G202&lt;&gt;TRUE),IFERROR(H202,0)+IFERROR(I202,0)+IFERROR(J202,0)+IFERROR(K202,0)+IFERROR(L202,0),0))</f>
        <v/>
      </c>
    </row>
    <row r="203">
      <c r="A203" s="10" t="n"/>
      <c r="B203" s="10" t="n"/>
      <c r="C203" s="11" t="n"/>
      <c r="D203" s="11" t="n"/>
      <c r="E203" s="10" t="n"/>
      <c r="F203" s="10" t="n"/>
      <c r="G203" s="12" t="n"/>
      <c r="H203" s="13" t="n"/>
      <c r="I203" s="13" t="n"/>
      <c r="J203" s="13" t="n"/>
      <c r="K203" s="13" t="n"/>
      <c r="L203" s="13" t="n"/>
      <c r="M203" s="14">
        <f>IFERROR(IF(A203="","",IFERROR(VLOOKUP(A203,Raw_PriorMonth!A:E,5,FALSE),0)),0)</f>
        <v/>
      </c>
      <c r="N203" s="14">
        <f>IF(A203="","",IFERROR(E203,0)+IFERROR(M203,0))</f>
        <v/>
      </c>
      <c r="O203" s="15">
        <f>IF(A203="","",IF(N203&gt;=28,TRUE,FALSE))</f>
        <v/>
      </c>
      <c r="P203" s="15">
        <f>IF(A203="","",OR(G203=TRUE,O203=TRUE))</f>
        <v/>
      </c>
      <c r="Q203" s="16">
        <f>IF(A203="","",IFERROR(H203,0)+IFERROR(I203,0)+IFERROR(J203,0)+IFERROR(K203,0)+IFERROR(L203,0))</f>
        <v/>
      </c>
      <c r="R203" s="16">
        <f>IF(A203="","",IF(P203=TRUE,0,Q203))</f>
        <v/>
      </c>
      <c r="S203" s="16">
        <f>IF(A203="","",IF(P203=TRUE,0,IFERROR(H203,0)))</f>
        <v/>
      </c>
      <c r="T203" s="16">
        <f>IF(A203="","",IF(P203=TRUE,0,IFERROR(I203,0)))</f>
        <v/>
      </c>
      <c r="U203" s="16">
        <f>IF(A203="","",IF(P203=TRUE,0,IFERROR(J203,0)))</f>
        <v/>
      </c>
      <c r="V203" s="16">
        <f>IF(A203="","",IF(P203=TRUE,0,IFERROR(K203,0)))</f>
        <v/>
      </c>
      <c r="W203" s="16">
        <f>IF(A203="","",IF(P203=TRUE,0,IFERROR(L203,0)))</f>
        <v/>
      </c>
      <c r="X203" s="16">
        <f>IF(A203="","",IF(P203=TRUE,0,IFERROR(H203,0)+IFERROR(I203,0)+IFERROR(L203,0)))</f>
        <v/>
      </c>
      <c r="Y203" s="16">
        <f>IF(A203="",0,IF(G203=TRUE,IFERROR(H203,0)+IFERROR(I203,0)+IFERROR(J203,0)+IFERROR(K203,0)+IFERROR(L203,0),0))</f>
        <v/>
      </c>
      <c r="Z203" s="16">
        <f>IF(A203="",0,IF(AND(O203=TRUE,G203&lt;&gt;TRUE),IFERROR(H203,0)+IFERROR(I203,0)+IFERROR(J203,0)+IFERROR(K203,0)+IFERROR(L203,0),0))</f>
        <v/>
      </c>
    </row>
    <row r="204">
      <c r="A204" s="10" t="n"/>
      <c r="B204" s="10" t="n"/>
      <c r="C204" s="11" t="n"/>
      <c r="D204" s="11" t="n"/>
      <c r="E204" s="10" t="n"/>
      <c r="F204" s="10" t="n"/>
      <c r="G204" s="12" t="n"/>
      <c r="H204" s="13" t="n"/>
      <c r="I204" s="13" t="n"/>
      <c r="J204" s="13" t="n"/>
      <c r="K204" s="13" t="n"/>
      <c r="L204" s="13" t="n"/>
      <c r="M204" s="14">
        <f>IFERROR(IF(A204="","",IFERROR(VLOOKUP(A204,Raw_PriorMonth!A:E,5,FALSE),0)),0)</f>
        <v/>
      </c>
      <c r="N204" s="14">
        <f>IF(A204="","",IFERROR(E204,0)+IFERROR(M204,0))</f>
        <v/>
      </c>
      <c r="O204" s="15">
        <f>IF(A204="","",IF(N204&gt;=28,TRUE,FALSE))</f>
        <v/>
      </c>
      <c r="P204" s="15">
        <f>IF(A204="","",OR(G204=TRUE,O204=TRUE))</f>
        <v/>
      </c>
      <c r="Q204" s="16">
        <f>IF(A204="","",IFERROR(H204,0)+IFERROR(I204,0)+IFERROR(J204,0)+IFERROR(K204,0)+IFERROR(L204,0))</f>
        <v/>
      </c>
      <c r="R204" s="16">
        <f>IF(A204="","",IF(P204=TRUE,0,Q204))</f>
        <v/>
      </c>
      <c r="S204" s="16">
        <f>IF(A204="","",IF(P204=TRUE,0,IFERROR(H204,0)))</f>
        <v/>
      </c>
      <c r="T204" s="16">
        <f>IF(A204="","",IF(P204=TRUE,0,IFERROR(I204,0)))</f>
        <v/>
      </c>
      <c r="U204" s="16">
        <f>IF(A204="","",IF(P204=TRUE,0,IFERROR(J204,0)))</f>
        <v/>
      </c>
      <c r="V204" s="16">
        <f>IF(A204="","",IF(P204=TRUE,0,IFERROR(K204,0)))</f>
        <v/>
      </c>
      <c r="W204" s="16">
        <f>IF(A204="","",IF(P204=TRUE,0,IFERROR(L204,0)))</f>
        <v/>
      </c>
      <c r="X204" s="16">
        <f>IF(A204="","",IF(P204=TRUE,0,IFERROR(H204,0)+IFERROR(I204,0)+IFERROR(L204,0)))</f>
        <v/>
      </c>
      <c r="Y204" s="16">
        <f>IF(A204="",0,IF(G204=TRUE,IFERROR(H204,0)+IFERROR(I204,0)+IFERROR(J204,0)+IFERROR(K204,0)+IFERROR(L204,0),0))</f>
        <v/>
      </c>
      <c r="Z204" s="16">
        <f>IF(A204="",0,IF(AND(O204=TRUE,G204&lt;&gt;TRUE),IFERROR(H204,0)+IFERROR(I204,0)+IFERROR(J204,0)+IFERROR(K204,0)+IFERROR(L204,0),0))</f>
        <v/>
      </c>
    </row>
    <row r="205">
      <c r="A205" s="10" t="n"/>
      <c r="B205" s="10" t="n"/>
      <c r="C205" s="11" t="n"/>
      <c r="D205" s="11" t="n"/>
      <c r="E205" s="10" t="n"/>
      <c r="F205" s="10" t="n"/>
      <c r="G205" s="12" t="n"/>
      <c r="H205" s="13" t="n"/>
      <c r="I205" s="13" t="n"/>
      <c r="J205" s="13" t="n"/>
      <c r="K205" s="13" t="n"/>
      <c r="L205" s="13" t="n"/>
      <c r="M205" s="14">
        <f>IFERROR(IF(A205="","",IFERROR(VLOOKUP(A205,Raw_PriorMonth!A:E,5,FALSE),0)),0)</f>
        <v/>
      </c>
      <c r="N205" s="14">
        <f>IF(A205="","",IFERROR(E205,0)+IFERROR(M205,0))</f>
        <v/>
      </c>
      <c r="O205" s="15">
        <f>IF(A205="","",IF(N205&gt;=28,TRUE,FALSE))</f>
        <v/>
      </c>
      <c r="P205" s="15">
        <f>IF(A205="","",OR(G205=TRUE,O205=TRUE))</f>
        <v/>
      </c>
      <c r="Q205" s="16">
        <f>IF(A205="","",IFERROR(H205,0)+IFERROR(I205,0)+IFERROR(J205,0)+IFERROR(K205,0)+IFERROR(L205,0))</f>
        <v/>
      </c>
      <c r="R205" s="16">
        <f>IF(A205="","",IF(P205=TRUE,0,Q205))</f>
        <v/>
      </c>
      <c r="S205" s="16">
        <f>IF(A205="","",IF(P205=TRUE,0,IFERROR(H205,0)))</f>
        <v/>
      </c>
      <c r="T205" s="16">
        <f>IF(A205="","",IF(P205=TRUE,0,IFERROR(I205,0)))</f>
        <v/>
      </c>
      <c r="U205" s="16">
        <f>IF(A205="","",IF(P205=TRUE,0,IFERROR(J205,0)))</f>
        <v/>
      </c>
      <c r="V205" s="16">
        <f>IF(A205="","",IF(P205=TRUE,0,IFERROR(K205,0)))</f>
        <v/>
      </c>
      <c r="W205" s="16">
        <f>IF(A205="","",IF(P205=TRUE,0,IFERROR(L205,0)))</f>
        <v/>
      </c>
      <c r="X205" s="16">
        <f>IF(A205="","",IF(P205=TRUE,0,IFERROR(H205,0)+IFERROR(I205,0)+IFERROR(L205,0)))</f>
        <v/>
      </c>
      <c r="Y205" s="16">
        <f>IF(A205="",0,IF(G205=TRUE,IFERROR(H205,0)+IFERROR(I205,0)+IFERROR(J205,0)+IFERROR(K205,0)+IFERROR(L205,0),0))</f>
        <v/>
      </c>
      <c r="Z205" s="16">
        <f>IF(A205="",0,IF(AND(O205=TRUE,G205&lt;&gt;TRUE),IFERROR(H205,0)+IFERROR(I205,0)+IFERROR(J205,0)+IFERROR(K205,0)+IFERROR(L205,0),0))</f>
        <v/>
      </c>
    </row>
    <row r="206">
      <c r="A206" s="10" t="n"/>
      <c r="B206" s="10" t="n"/>
      <c r="C206" s="11" t="n"/>
      <c r="D206" s="11" t="n"/>
      <c r="E206" s="10" t="n"/>
      <c r="F206" s="10" t="n"/>
      <c r="G206" s="12" t="n"/>
      <c r="H206" s="13" t="n"/>
      <c r="I206" s="13" t="n"/>
      <c r="J206" s="13" t="n"/>
      <c r="K206" s="13" t="n"/>
      <c r="L206" s="13" t="n"/>
      <c r="M206" s="14">
        <f>IFERROR(IF(A206="","",IFERROR(VLOOKUP(A206,Raw_PriorMonth!A:E,5,FALSE),0)),0)</f>
        <v/>
      </c>
      <c r="N206" s="14">
        <f>IF(A206="","",IFERROR(E206,0)+IFERROR(M206,0))</f>
        <v/>
      </c>
      <c r="O206" s="15">
        <f>IF(A206="","",IF(N206&gt;=28,TRUE,FALSE))</f>
        <v/>
      </c>
      <c r="P206" s="15">
        <f>IF(A206="","",OR(G206=TRUE,O206=TRUE))</f>
        <v/>
      </c>
      <c r="Q206" s="16">
        <f>IF(A206="","",IFERROR(H206,0)+IFERROR(I206,0)+IFERROR(J206,0)+IFERROR(K206,0)+IFERROR(L206,0))</f>
        <v/>
      </c>
      <c r="R206" s="16">
        <f>IF(A206="","",IF(P206=TRUE,0,Q206))</f>
        <v/>
      </c>
      <c r="S206" s="16">
        <f>IF(A206="","",IF(P206=TRUE,0,IFERROR(H206,0)))</f>
        <v/>
      </c>
      <c r="T206" s="16">
        <f>IF(A206="","",IF(P206=TRUE,0,IFERROR(I206,0)))</f>
        <v/>
      </c>
      <c r="U206" s="16">
        <f>IF(A206="","",IF(P206=TRUE,0,IFERROR(J206,0)))</f>
        <v/>
      </c>
      <c r="V206" s="16">
        <f>IF(A206="","",IF(P206=TRUE,0,IFERROR(K206,0)))</f>
        <v/>
      </c>
      <c r="W206" s="16">
        <f>IF(A206="","",IF(P206=TRUE,0,IFERROR(L206,0)))</f>
        <v/>
      </c>
      <c r="X206" s="16">
        <f>IF(A206="","",IF(P206=TRUE,0,IFERROR(H206,0)+IFERROR(I206,0)+IFERROR(L206,0)))</f>
        <v/>
      </c>
      <c r="Y206" s="16">
        <f>IF(A206="",0,IF(G206=TRUE,IFERROR(H206,0)+IFERROR(I206,0)+IFERROR(J206,0)+IFERROR(K206,0)+IFERROR(L206,0),0))</f>
        <v/>
      </c>
      <c r="Z206" s="16">
        <f>IF(A206="",0,IF(AND(O206=TRUE,G206&lt;&gt;TRUE),IFERROR(H206,0)+IFERROR(I206,0)+IFERROR(J206,0)+IFERROR(K206,0)+IFERROR(L206,0),0))</f>
        <v/>
      </c>
    </row>
    <row r="207">
      <c r="A207" s="10" t="n"/>
      <c r="B207" s="10" t="n"/>
      <c r="C207" s="11" t="n"/>
      <c r="D207" s="11" t="n"/>
      <c r="E207" s="10" t="n"/>
      <c r="F207" s="10" t="n"/>
      <c r="G207" s="12" t="n"/>
      <c r="H207" s="13" t="n"/>
      <c r="I207" s="13" t="n"/>
      <c r="J207" s="13" t="n"/>
      <c r="K207" s="13" t="n"/>
      <c r="L207" s="13" t="n"/>
      <c r="M207" s="14">
        <f>IFERROR(IF(A207="","",IFERROR(VLOOKUP(A207,Raw_PriorMonth!A:E,5,FALSE),0)),0)</f>
        <v/>
      </c>
      <c r="N207" s="14">
        <f>IF(A207="","",IFERROR(E207,0)+IFERROR(M207,0))</f>
        <v/>
      </c>
      <c r="O207" s="15">
        <f>IF(A207="","",IF(N207&gt;=28,TRUE,FALSE))</f>
        <v/>
      </c>
      <c r="P207" s="15">
        <f>IF(A207="","",OR(G207=TRUE,O207=TRUE))</f>
        <v/>
      </c>
      <c r="Q207" s="16">
        <f>IF(A207="","",IFERROR(H207,0)+IFERROR(I207,0)+IFERROR(J207,0)+IFERROR(K207,0)+IFERROR(L207,0))</f>
        <v/>
      </c>
      <c r="R207" s="16">
        <f>IF(A207="","",IF(P207=TRUE,0,Q207))</f>
        <v/>
      </c>
      <c r="S207" s="16">
        <f>IF(A207="","",IF(P207=TRUE,0,IFERROR(H207,0)))</f>
        <v/>
      </c>
      <c r="T207" s="16">
        <f>IF(A207="","",IF(P207=TRUE,0,IFERROR(I207,0)))</f>
        <v/>
      </c>
      <c r="U207" s="16">
        <f>IF(A207="","",IF(P207=TRUE,0,IFERROR(J207,0)))</f>
        <v/>
      </c>
      <c r="V207" s="16">
        <f>IF(A207="","",IF(P207=TRUE,0,IFERROR(K207,0)))</f>
        <v/>
      </c>
      <c r="W207" s="16">
        <f>IF(A207="","",IF(P207=TRUE,0,IFERROR(L207,0)))</f>
        <v/>
      </c>
      <c r="X207" s="16">
        <f>IF(A207="","",IF(P207=TRUE,0,IFERROR(H207,0)+IFERROR(I207,0)+IFERROR(L207,0)))</f>
        <v/>
      </c>
      <c r="Y207" s="16">
        <f>IF(A207="",0,IF(G207=TRUE,IFERROR(H207,0)+IFERROR(I207,0)+IFERROR(J207,0)+IFERROR(K207,0)+IFERROR(L207,0),0))</f>
        <v/>
      </c>
      <c r="Z207" s="16">
        <f>IF(A207="",0,IF(AND(O207=TRUE,G207&lt;&gt;TRUE),IFERROR(H207,0)+IFERROR(I207,0)+IFERROR(J207,0)+IFERROR(K207,0)+IFERROR(L207,0),0))</f>
        <v/>
      </c>
    </row>
    <row r="208">
      <c r="A208" s="10" t="n"/>
      <c r="B208" s="10" t="n"/>
      <c r="C208" s="11" t="n"/>
      <c r="D208" s="11" t="n"/>
      <c r="E208" s="10" t="n"/>
      <c r="F208" s="10" t="n"/>
      <c r="G208" s="12" t="n"/>
      <c r="H208" s="13" t="n"/>
      <c r="I208" s="13" t="n"/>
      <c r="J208" s="13" t="n"/>
      <c r="K208" s="13" t="n"/>
      <c r="L208" s="13" t="n"/>
      <c r="M208" s="14">
        <f>IFERROR(IF(A208="","",IFERROR(VLOOKUP(A208,Raw_PriorMonth!A:E,5,FALSE),0)),0)</f>
        <v/>
      </c>
      <c r="N208" s="14">
        <f>IF(A208="","",IFERROR(E208,0)+IFERROR(M208,0))</f>
        <v/>
      </c>
      <c r="O208" s="15">
        <f>IF(A208="","",IF(N208&gt;=28,TRUE,FALSE))</f>
        <v/>
      </c>
      <c r="P208" s="15">
        <f>IF(A208="","",OR(G208=TRUE,O208=TRUE))</f>
        <v/>
      </c>
      <c r="Q208" s="16">
        <f>IF(A208="","",IFERROR(H208,0)+IFERROR(I208,0)+IFERROR(J208,0)+IFERROR(K208,0)+IFERROR(L208,0))</f>
        <v/>
      </c>
      <c r="R208" s="16">
        <f>IF(A208="","",IF(P208=TRUE,0,Q208))</f>
        <v/>
      </c>
      <c r="S208" s="16">
        <f>IF(A208="","",IF(P208=TRUE,0,IFERROR(H208,0)))</f>
        <v/>
      </c>
      <c r="T208" s="16">
        <f>IF(A208="","",IF(P208=TRUE,0,IFERROR(I208,0)))</f>
        <v/>
      </c>
      <c r="U208" s="16">
        <f>IF(A208="","",IF(P208=TRUE,0,IFERROR(J208,0)))</f>
        <v/>
      </c>
      <c r="V208" s="16">
        <f>IF(A208="","",IF(P208=TRUE,0,IFERROR(K208,0)))</f>
        <v/>
      </c>
      <c r="W208" s="16">
        <f>IF(A208="","",IF(P208=TRUE,0,IFERROR(L208,0)))</f>
        <v/>
      </c>
      <c r="X208" s="16">
        <f>IF(A208="","",IF(P208=TRUE,0,IFERROR(H208,0)+IFERROR(I208,0)+IFERROR(L208,0)))</f>
        <v/>
      </c>
      <c r="Y208" s="16">
        <f>IF(A208="",0,IF(G208=TRUE,IFERROR(H208,0)+IFERROR(I208,0)+IFERROR(J208,0)+IFERROR(K208,0)+IFERROR(L208,0),0))</f>
        <v/>
      </c>
      <c r="Z208" s="16">
        <f>IF(A208="",0,IF(AND(O208=TRUE,G208&lt;&gt;TRUE),IFERROR(H208,0)+IFERROR(I208,0)+IFERROR(J208,0)+IFERROR(K208,0)+IFERROR(L208,0),0))</f>
        <v/>
      </c>
    </row>
    <row r="209">
      <c r="A209" s="10" t="n"/>
      <c r="B209" s="10" t="n"/>
      <c r="C209" s="11" t="n"/>
      <c r="D209" s="11" t="n"/>
      <c r="E209" s="10" t="n"/>
      <c r="F209" s="10" t="n"/>
      <c r="G209" s="12" t="n"/>
      <c r="H209" s="13" t="n"/>
      <c r="I209" s="13" t="n"/>
      <c r="J209" s="13" t="n"/>
      <c r="K209" s="13" t="n"/>
      <c r="L209" s="13" t="n"/>
      <c r="M209" s="14">
        <f>IFERROR(IF(A209="","",IFERROR(VLOOKUP(A209,Raw_PriorMonth!A:E,5,FALSE),0)),0)</f>
        <v/>
      </c>
      <c r="N209" s="14">
        <f>IF(A209="","",IFERROR(E209,0)+IFERROR(M209,0))</f>
        <v/>
      </c>
      <c r="O209" s="15">
        <f>IF(A209="","",IF(N209&gt;=28,TRUE,FALSE))</f>
        <v/>
      </c>
      <c r="P209" s="15">
        <f>IF(A209="","",OR(G209=TRUE,O209=TRUE))</f>
        <v/>
      </c>
      <c r="Q209" s="16">
        <f>IF(A209="","",IFERROR(H209,0)+IFERROR(I209,0)+IFERROR(J209,0)+IFERROR(K209,0)+IFERROR(L209,0))</f>
        <v/>
      </c>
      <c r="R209" s="16">
        <f>IF(A209="","",IF(P209=TRUE,0,Q209))</f>
        <v/>
      </c>
      <c r="S209" s="16">
        <f>IF(A209="","",IF(P209=TRUE,0,IFERROR(H209,0)))</f>
        <v/>
      </c>
      <c r="T209" s="16">
        <f>IF(A209="","",IF(P209=TRUE,0,IFERROR(I209,0)))</f>
        <v/>
      </c>
      <c r="U209" s="16">
        <f>IF(A209="","",IF(P209=TRUE,0,IFERROR(J209,0)))</f>
        <v/>
      </c>
      <c r="V209" s="16">
        <f>IF(A209="","",IF(P209=TRUE,0,IFERROR(K209,0)))</f>
        <v/>
      </c>
      <c r="W209" s="16">
        <f>IF(A209="","",IF(P209=TRUE,0,IFERROR(L209,0)))</f>
        <v/>
      </c>
      <c r="X209" s="16">
        <f>IF(A209="","",IF(P209=TRUE,0,IFERROR(H209,0)+IFERROR(I209,0)+IFERROR(L209,0)))</f>
        <v/>
      </c>
      <c r="Y209" s="16">
        <f>IF(A209="",0,IF(G209=TRUE,IFERROR(H209,0)+IFERROR(I209,0)+IFERROR(J209,0)+IFERROR(K209,0)+IFERROR(L209,0),0))</f>
        <v/>
      </c>
      <c r="Z209" s="16">
        <f>IF(A209="",0,IF(AND(O209=TRUE,G209&lt;&gt;TRUE),IFERROR(H209,0)+IFERROR(I209,0)+IFERROR(J209,0)+IFERROR(K209,0)+IFERROR(L209,0),0))</f>
        <v/>
      </c>
    </row>
    <row r="210">
      <c r="A210" s="10" t="n"/>
      <c r="B210" s="10" t="n"/>
      <c r="C210" s="11" t="n"/>
      <c r="D210" s="11" t="n"/>
      <c r="E210" s="10" t="n"/>
      <c r="F210" s="10" t="n"/>
      <c r="G210" s="12" t="n"/>
      <c r="H210" s="13" t="n"/>
      <c r="I210" s="13" t="n"/>
      <c r="J210" s="13" t="n"/>
      <c r="K210" s="13" t="n"/>
      <c r="L210" s="13" t="n"/>
      <c r="M210" s="14">
        <f>IFERROR(IF(A210="","",IFERROR(VLOOKUP(A210,Raw_PriorMonth!A:E,5,FALSE),0)),0)</f>
        <v/>
      </c>
      <c r="N210" s="14">
        <f>IF(A210="","",IFERROR(E210,0)+IFERROR(M210,0))</f>
        <v/>
      </c>
      <c r="O210" s="15">
        <f>IF(A210="","",IF(N210&gt;=28,TRUE,FALSE))</f>
        <v/>
      </c>
      <c r="P210" s="15">
        <f>IF(A210="","",OR(G210=TRUE,O210=TRUE))</f>
        <v/>
      </c>
      <c r="Q210" s="16">
        <f>IF(A210="","",IFERROR(H210,0)+IFERROR(I210,0)+IFERROR(J210,0)+IFERROR(K210,0)+IFERROR(L210,0))</f>
        <v/>
      </c>
      <c r="R210" s="16">
        <f>IF(A210="","",IF(P210=TRUE,0,Q210))</f>
        <v/>
      </c>
      <c r="S210" s="16">
        <f>IF(A210="","",IF(P210=TRUE,0,IFERROR(H210,0)))</f>
        <v/>
      </c>
      <c r="T210" s="16">
        <f>IF(A210="","",IF(P210=TRUE,0,IFERROR(I210,0)))</f>
        <v/>
      </c>
      <c r="U210" s="16">
        <f>IF(A210="","",IF(P210=TRUE,0,IFERROR(J210,0)))</f>
        <v/>
      </c>
      <c r="V210" s="16">
        <f>IF(A210="","",IF(P210=TRUE,0,IFERROR(K210,0)))</f>
        <v/>
      </c>
      <c r="W210" s="16">
        <f>IF(A210="","",IF(P210=TRUE,0,IFERROR(L210,0)))</f>
        <v/>
      </c>
      <c r="X210" s="16">
        <f>IF(A210="","",IF(P210=TRUE,0,IFERROR(H210,0)+IFERROR(I210,0)+IFERROR(L210,0)))</f>
        <v/>
      </c>
      <c r="Y210" s="16">
        <f>IF(A210="",0,IF(G210=TRUE,IFERROR(H210,0)+IFERROR(I210,0)+IFERROR(J210,0)+IFERROR(K210,0)+IFERROR(L210,0),0))</f>
        <v/>
      </c>
      <c r="Z210" s="16">
        <f>IF(A210="",0,IF(AND(O210=TRUE,G210&lt;&gt;TRUE),IFERROR(H210,0)+IFERROR(I210,0)+IFERROR(J210,0)+IFERROR(K210,0)+IFERROR(L210,0),0))</f>
        <v/>
      </c>
    </row>
    <row r="211">
      <c r="A211" s="10" t="n"/>
      <c r="B211" s="10" t="n"/>
      <c r="C211" s="11" t="n"/>
      <c r="D211" s="11" t="n"/>
      <c r="E211" s="10" t="n"/>
      <c r="F211" s="10" t="n"/>
      <c r="G211" s="12" t="n"/>
      <c r="H211" s="13" t="n"/>
      <c r="I211" s="13" t="n"/>
      <c r="J211" s="13" t="n"/>
      <c r="K211" s="13" t="n"/>
      <c r="L211" s="13" t="n"/>
      <c r="M211" s="14">
        <f>IFERROR(IF(A211="","",IFERROR(VLOOKUP(A211,Raw_PriorMonth!A:E,5,FALSE),0)),0)</f>
        <v/>
      </c>
      <c r="N211" s="14">
        <f>IF(A211="","",IFERROR(E211,0)+IFERROR(M211,0))</f>
        <v/>
      </c>
      <c r="O211" s="15">
        <f>IF(A211="","",IF(N211&gt;=28,TRUE,FALSE))</f>
        <v/>
      </c>
      <c r="P211" s="15">
        <f>IF(A211="","",OR(G211=TRUE,O211=TRUE))</f>
        <v/>
      </c>
      <c r="Q211" s="16">
        <f>IF(A211="","",IFERROR(H211,0)+IFERROR(I211,0)+IFERROR(J211,0)+IFERROR(K211,0)+IFERROR(L211,0))</f>
        <v/>
      </c>
      <c r="R211" s="16">
        <f>IF(A211="","",IF(P211=TRUE,0,Q211))</f>
        <v/>
      </c>
      <c r="S211" s="16">
        <f>IF(A211="","",IF(P211=TRUE,0,IFERROR(H211,0)))</f>
        <v/>
      </c>
      <c r="T211" s="16">
        <f>IF(A211="","",IF(P211=TRUE,0,IFERROR(I211,0)))</f>
        <v/>
      </c>
      <c r="U211" s="16">
        <f>IF(A211="","",IF(P211=TRUE,0,IFERROR(J211,0)))</f>
        <v/>
      </c>
      <c r="V211" s="16">
        <f>IF(A211="","",IF(P211=TRUE,0,IFERROR(K211,0)))</f>
        <v/>
      </c>
      <c r="W211" s="16">
        <f>IF(A211="","",IF(P211=TRUE,0,IFERROR(L211,0)))</f>
        <v/>
      </c>
      <c r="X211" s="16">
        <f>IF(A211="","",IF(P211=TRUE,0,IFERROR(H211,0)+IFERROR(I211,0)+IFERROR(L211,0)))</f>
        <v/>
      </c>
      <c r="Y211" s="16">
        <f>IF(A211="",0,IF(G211=TRUE,IFERROR(H211,0)+IFERROR(I211,0)+IFERROR(J211,0)+IFERROR(K211,0)+IFERROR(L211,0),0))</f>
        <v/>
      </c>
      <c r="Z211" s="16">
        <f>IF(A211="",0,IF(AND(O211=TRUE,G211&lt;&gt;TRUE),IFERROR(H211,0)+IFERROR(I211,0)+IFERROR(J211,0)+IFERROR(K211,0)+IFERROR(L211,0),0))</f>
        <v/>
      </c>
    </row>
    <row r="212">
      <c r="A212" s="10" t="n"/>
      <c r="B212" s="10" t="n"/>
      <c r="C212" s="11" t="n"/>
      <c r="D212" s="11" t="n"/>
      <c r="E212" s="10" t="n"/>
      <c r="F212" s="10" t="n"/>
      <c r="G212" s="12" t="n"/>
      <c r="H212" s="13" t="n"/>
      <c r="I212" s="13" t="n"/>
      <c r="J212" s="13" t="n"/>
      <c r="K212" s="13" t="n"/>
      <c r="L212" s="13" t="n"/>
      <c r="M212" s="14">
        <f>IFERROR(IF(A212="","",IFERROR(VLOOKUP(A212,Raw_PriorMonth!A:E,5,FALSE),0)),0)</f>
        <v/>
      </c>
      <c r="N212" s="14">
        <f>IF(A212="","",IFERROR(E212,0)+IFERROR(M212,0))</f>
        <v/>
      </c>
      <c r="O212" s="15">
        <f>IF(A212="","",IF(N212&gt;=28,TRUE,FALSE))</f>
        <v/>
      </c>
      <c r="P212" s="15">
        <f>IF(A212="","",OR(G212=TRUE,O212=TRUE))</f>
        <v/>
      </c>
      <c r="Q212" s="16">
        <f>IF(A212="","",IFERROR(H212,0)+IFERROR(I212,0)+IFERROR(J212,0)+IFERROR(K212,0)+IFERROR(L212,0))</f>
        <v/>
      </c>
      <c r="R212" s="16">
        <f>IF(A212="","",IF(P212=TRUE,0,Q212))</f>
        <v/>
      </c>
      <c r="S212" s="16">
        <f>IF(A212="","",IF(P212=TRUE,0,IFERROR(H212,0)))</f>
        <v/>
      </c>
      <c r="T212" s="16">
        <f>IF(A212="","",IF(P212=TRUE,0,IFERROR(I212,0)))</f>
        <v/>
      </c>
      <c r="U212" s="16">
        <f>IF(A212="","",IF(P212=TRUE,0,IFERROR(J212,0)))</f>
        <v/>
      </c>
      <c r="V212" s="16">
        <f>IF(A212="","",IF(P212=TRUE,0,IFERROR(K212,0)))</f>
        <v/>
      </c>
      <c r="W212" s="16">
        <f>IF(A212="","",IF(P212=TRUE,0,IFERROR(L212,0)))</f>
        <v/>
      </c>
      <c r="X212" s="16">
        <f>IF(A212="","",IF(P212=TRUE,0,IFERROR(H212,0)+IFERROR(I212,0)+IFERROR(L212,0)))</f>
        <v/>
      </c>
      <c r="Y212" s="16">
        <f>IF(A212="",0,IF(G212=TRUE,IFERROR(H212,0)+IFERROR(I212,0)+IFERROR(J212,0)+IFERROR(K212,0)+IFERROR(L212,0),0))</f>
        <v/>
      </c>
      <c r="Z212" s="16">
        <f>IF(A212="",0,IF(AND(O212=TRUE,G212&lt;&gt;TRUE),IFERROR(H212,0)+IFERROR(I212,0)+IFERROR(J212,0)+IFERROR(K212,0)+IFERROR(L212,0),0))</f>
        <v/>
      </c>
    </row>
    <row r="213">
      <c r="A213" s="10" t="n"/>
      <c r="B213" s="10" t="n"/>
      <c r="C213" s="11" t="n"/>
      <c r="D213" s="11" t="n"/>
      <c r="E213" s="10" t="n"/>
      <c r="F213" s="10" t="n"/>
      <c r="G213" s="12" t="n"/>
      <c r="H213" s="13" t="n"/>
      <c r="I213" s="13" t="n"/>
      <c r="J213" s="13" t="n"/>
      <c r="K213" s="13" t="n"/>
      <c r="L213" s="13" t="n"/>
      <c r="M213" s="14">
        <f>IFERROR(IF(A213="","",IFERROR(VLOOKUP(A213,Raw_PriorMonth!A:E,5,FALSE),0)),0)</f>
        <v/>
      </c>
      <c r="N213" s="14">
        <f>IF(A213="","",IFERROR(E213,0)+IFERROR(M213,0))</f>
        <v/>
      </c>
      <c r="O213" s="15">
        <f>IF(A213="","",IF(N213&gt;=28,TRUE,FALSE))</f>
        <v/>
      </c>
      <c r="P213" s="15">
        <f>IF(A213="","",OR(G213=TRUE,O213=TRUE))</f>
        <v/>
      </c>
      <c r="Q213" s="16">
        <f>IF(A213="","",IFERROR(H213,0)+IFERROR(I213,0)+IFERROR(J213,0)+IFERROR(K213,0)+IFERROR(L213,0))</f>
        <v/>
      </c>
      <c r="R213" s="16">
        <f>IF(A213="","",IF(P213=TRUE,0,Q213))</f>
        <v/>
      </c>
      <c r="S213" s="16">
        <f>IF(A213="","",IF(P213=TRUE,0,IFERROR(H213,0)))</f>
        <v/>
      </c>
      <c r="T213" s="16">
        <f>IF(A213="","",IF(P213=TRUE,0,IFERROR(I213,0)))</f>
        <v/>
      </c>
      <c r="U213" s="16">
        <f>IF(A213="","",IF(P213=TRUE,0,IFERROR(J213,0)))</f>
        <v/>
      </c>
      <c r="V213" s="16">
        <f>IF(A213="","",IF(P213=TRUE,0,IFERROR(K213,0)))</f>
        <v/>
      </c>
      <c r="W213" s="16">
        <f>IF(A213="","",IF(P213=TRUE,0,IFERROR(L213,0)))</f>
        <v/>
      </c>
      <c r="X213" s="16">
        <f>IF(A213="","",IF(P213=TRUE,0,IFERROR(H213,0)+IFERROR(I213,0)+IFERROR(L213,0)))</f>
        <v/>
      </c>
      <c r="Y213" s="16">
        <f>IF(A213="",0,IF(G213=TRUE,IFERROR(H213,0)+IFERROR(I213,0)+IFERROR(J213,0)+IFERROR(K213,0)+IFERROR(L213,0),0))</f>
        <v/>
      </c>
      <c r="Z213" s="16">
        <f>IF(A213="",0,IF(AND(O213=TRUE,G213&lt;&gt;TRUE),IFERROR(H213,0)+IFERROR(I213,0)+IFERROR(J213,0)+IFERROR(K213,0)+IFERROR(L213,0),0))</f>
        <v/>
      </c>
    </row>
    <row r="214">
      <c r="A214" s="10" t="n"/>
      <c r="B214" s="10" t="n"/>
      <c r="C214" s="11" t="n"/>
      <c r="D214" s="11" t="n"/>
      <c r="E214" s="10" t="n"/>
      <c r="F214" s="10" t="n"/>
      <c r="G214" s="12" t="n"/>
      <c r="H214" s="13" t="n"/>
      <c r="I214" s="13" t="n"/>
      <c r="J214" s="13" t="n"/>
      <c r="K214" s="13" t="n"/>
      <c r="L214" s="13" t="n"/>
      <c r="M214" s="14">
        <f>IFERROR(IF(A214="","",IFERROR(VLOOKUP(A214,Raw_PriorMonth!A:E,5,FALSE),0)),0)</f>
        <v/>
      </c>
      <c r="N214" s="14">
        <f>IF(A214="","",IFERROR(E214,0)+IFERROR(M214,0))</f>
        <v/>
      </c>
      <c r="O214" s="15">
        <f>IF(A214="","",IF(N214&gt;=28,TRUE,FALSE))</f>
        <v/>
      </c>
      <c r="P214" s="15">
        <f>IF(A214="","",OR(G214=TRUE,O214=TRUE))</f>
        <v/>
      </c>
      <c r="Q214" s="16">
        <f>IF(A214="","",IFERROR(H214,0)+IFERROR(I214,0)+IFERROR(J214,0)+IFERROR(K214,0)+IFERROR(L214,0))</f>
        <v/>
      </c>
      <c r="R214" s="16">
        <f>IF(A214="","",IF(P214=TRUE,0,Q214))</f>
        <v/>
      </c>
      <c r="S214" s="16">
        <f>IF(A214="","",IF(P214=TRUE,0,IFERROR(H214,0)))</f>
        <v/>
      </c>
      <c r="T214" s="16">
        <f>IF(A214="","",IF(P214=TRUE,0,IFERROR(I214,0)))</f>
        <v/>
      </c>
      <c r="U214" s="16">
        <f>IF(A214="","",IF(P214=TRUE,0,IFERROR(J214,0)))</f>
        <v/>
      </c>
      <c r="V214" s="16">
        <f>IF(A214="","",IF(P214=TRUE,0,IFERROR(K214,0)))</f>
        <v/>
      </c>
      <c r="W214" s="16">
        <f>IF(A214="","",IF(P214=TRUE,0,IFERROR(L214,0)))</f>
        <v/>
      </c>
      <c r="X214" s="16">
        <f>IF(A214="","",IF(P214=TRUE,0,IFERROR(H214,0)+IFERROR(I214,0)+IFERROR(L214,0)))</f>
        <v/>
      </c>
      <c r="Y214" s="16">
        <f>IF(A214="",0,IF(G214=TRUE,IFERROR(H214,0)+IFERROR(I214,0)+IFERROR(J214,0)+IFERROR(K214,0)+IFERROR(L214,0),0))</f>
        <v/>
      </c>
      <c r="Z214" s="16">
        <f>IF(A214="",0,IF(AND(O214=TRUE,G214&lt;&gt;TRUE),IFERROR(H214,0)+IFERROR(I214,0)+IFERROR(J214,0)+IFERROR(K214,0)+IFERROR(L214,0),0))</f>
        <v/>
      </c>
    </row>
    <row r="215">
      <c r="A215" s="10" t="n"/>
      <c r="B215" s="10" t="n"/>
      <c r="C215" s="11" t="n"/>
      <c r="D215" s="11" t="n"/>
      <c r="E215" s="10" t="n"/>
      <c r="F215" s="10" t="n"/>
      <c r="G215" s="12" t="n"/>
      <c r="H215" s="13" t="n"/>
      <c r="I215" s="13" t="n"/>
      <c r="J215" s="13" t="n"/>
      <c r="K215" s="13" t="n"/>
      <c r="L215" s="13" t="n"/>
      <c r="M215" s="14">
        <f>IFERROR(IF(A215="","",IFERROR(VLOOKUP(A215,Raw_PriorMonth!A:E,5,FALSE),0)),0)</f>
        <v/>
      </c>
      <c r="N215" s="14">
        <f>IF(A215="","",IFERROR(E215,0)+IFERROR(M215,0))</f>
        <v/>
      </c>
      <c r="O215" s="15">
        <f>IF(A215="","",IF(N215&gt;=28,TRUE,FALSE))</f>
        <v/>
      </c>
      <c r="P215" s="15">
        <f>IF(A215="","",OR(G215=TRUE,O215=TRUE))</f>
        <v/>
      </c>
      <c r="Q215" s="16">
        <f>IF(A215="","",IFERROR(H215,0)+IFERROR(I215,0)+IFERROR(J215,0)+IFERROR(K215,0)+IFERROR(L215,0))</f>
        <v/>
      </c>
      <c r="R215" s="16">
        <f>IF(A215="","",IF(P215=TRUE,0,Q215))</f>
        <v/>
      </c>
      <c r="S215" s="16">
        <f>IF(A215="","",IF(P215=TRUE,0,IFERROR(H215,0)))</f>
        <v/>
      </c>
      <c r="T215" s="16">
        <f>IF(A215="","",IF(P215=TRUE,0,IFERROR(I215,0)))</f>
        <v/>
      </c>
      <c r="U215" s="16">
        <f>IF(A215="","",IF(P215=TRUE,0,IFERROR(J215,0)))</f>
        <v/>
      </c>
      <c r="V215" s="16">
        <f>IF(A215="","",IF(P215=TRUE,0,IFERROR(K215,0)))</f>
        <v/>
      </c>
      <c r="W215" s="16">
        <f>IF(A215="","",IF(P215=TRUE,0,IFERROR(L215,0)))</f>
        <v/>
      </c>
      <c r="X215" s="16">
        <f>IF(A215="","",IF(P215=TRUE,0,IFERROR(H215,0)+IFERROR(I215,0)+IFERROR(L215,0)))</f>
        <v/>
      </c>
      <c r="Y215" s="16">
        <f>IF(A215="",0,IF(G215=TRUE,IFERROR(H215,0)+IFERROR(I215,0)+IFERROR(J215,0)+IFERROR(K215,0)+IFERROR(L215,0),0))</f>
        <v/>
      </c>
      <c r="Z215" s="16">
        <f>IF(A215="",0,IF(AND(O215=TRUE,G215&lt;&gt;TRUE),IFERROR(H215,0)+IFERROR(I215,0)+IFERROR(J215,0)+IFERROR(K215,0)+IFERROR(L215,0),0))</f>
        <v/>
      </c>
    </row>
    <row r="216">
      <c r="A216" s="10" t="n"/>
      <c r="B216" s="10" t="n"/>
      <c r="C216" s="11" t="n"/>
      <c r="D216" s="11" t="n"/>
      <c r="E216" s="10" t="n"/>
      <c r="F216" s="10" t="n"/>
      <c r="G216" s="12" t="n"/>
      <c r="H216" s="13" t="n"/>
      <c r="I216" s="13" t="n"/>
      <c r="J216" s="13" t="n"/>
      <c r="K216" s="13" t="n"/>
      <c r="L216" s="13" t="n"/>
      <c r="M216" s="14">
        <f>IFERROR(IF(A216="","",IFERROR(VLOOKUP(A216,Raw_PriorMonth!A:E,5,FALSE),0)),0)</f>
        <v/>
      </c>
      <c r="N216" s="14">
        <f>IF(A216="","",IFERROR(E216,0)+IFERROR(M216,0))</f>
        <v/>
      </c>
      <c r="O216" s="15">
        <f>IF(A216="","",IF(N216&gt;=28,TRUE,FALSE))</f>
        <v/>
      </c>
      <c r="P216" s="15">
        <f>IF(A216="","",OR(G216=TRUE,O216=TRUE))</f>
        <v/>
      </c>
      <c r="Q216" s="16">
        <f>IF(A216="","",IFERROR(H216,0)+IFERROR(I216,0)+IFERROR(J216,0)+IFERROR(K216,0)+IFERROR(L216,0))</f>
        <v/>
      </c>
      <c r="R216" s="16">
        <f>IF(A216="","",IF(P216=TRUE,0,Q216))</f>
        <v/>
      </c>
      <c r="S216" s="16">
        <f>IF(A216="","",IF(P216=TRUE,0,IFERROR(H216,0)))</f>
        <v/>
      </c>
      <c r="T216" s="16">
        <f>IF(A216="","",IF(P216=TRUE,0,IFERROR(I216,0)))</f>
        <v/>
      </c>
      <c r="U216" s="16">
        <f>IF(A216="","",IF(P216=TRUE,0,IFERROR(J216,0)))</f>
        <v/>
      </c>
      <c r="V216" s="16">
        <f>IF(A216="","",IF(P216=TRUE,0,IFERROR(K216,0)))</f>
        <v/>
      </c>
      <c r="W216" s="16">
        <f>IF(A216="","",IF(P216=TRUE,0,IFERROR(L216,0)))</f>
        <v/>
      </c>
      <c r="X216" s="16">
        <f>IF(A216="","",IF(P216=TRUE,0,IFERROR(H216,0)+IFERROR(I216,0)+IFERROR(L216,0)))</f>
        <v/>
      </c>
      <c r="Y216" s="16">
        <f>IF(A216="",0,IF(G216=TRUE,IFERROR(H216,0)+IFERROR(I216,0)+IFERROR(J216,0)+IFERROR(K216,0)+IFERROR(L216,0),0))</f>
        <v/>
      </c>
      <c r="Z216" s="16">
        <f>IF(A216="",0,IF(AND(O216=TRUE,G216&lt;&gt;TRUE),IFERROR(H216,0)+IFERROR(I216,0)+IFERROR(J216,0)+IFERROR(K216,0)+IFERROR(L216,0),0))</f>
        <v/>
      </c>
    </row>
    <row r="217">
      <c r="A217" s="10" t="n"/>
      <c r="B217" s="10" t="n"/>
      <c r="C217" s="11" t="n"/>
      <c r="D217" s="11" t="n"/>
      <c r="E217" s="10" t="n"/>
      <c r="F217" s="10" t="n"/>
      <c r="G217" s="12" t="n"/>
      <c r="H217" s="13" t="n"/>
      <c r="I217" s="13" t="n"/>
      <c r="J217" s="13" t="n"/>
      <c r="K217" s="13" t="n"/>
      <c r="L217" s="13" t="n"/>
      <c r="M217" s="14">
        <f>IFERROR(IF(A217="","",IFERROR(VLOOKUP(A217,Raw_PriorMonth!A:E,5,FALSE),0)),0)</f>
        <v/>
      </c>
      <c r="N217" s="14">
        <f>IF(A217="","",IFERROR(E217,0)+IFERROR(M217,0))</f>
        <v/>
      </c>
      <c r="O217" s="15">
        <f>IF(A217="","",IF(N217&gt;=28,TRUE,FALSE))</f>
        <v/>
      </c>
      <c r="P217" s="15">
        <f>IF(A217="","",OR(G217=TRUE,O217=TRUE))</f>
        <v/>
      </c>
      <c r="Q217" s="16">
        <f>IF(A217="","",IFERROR(H217,0)+IFERROR(I217,0)+IFERROR(J217,0)+IFERROR(K217,0)+IFERROR(L217,0))</f>
        <v/>
      </c>
      <c r="R217" s="16">
        <f>IF(A217="","",IF(P217=TRUE,0,Q217))</f>
        <v/>
      </c>
      <c r="S217" s="16">
        <f>IF(A217="","",IF(P217=TRUE,0,IFERROR(H217,0)))</f>
        <v/>
      </c>
      <c r="T217" s="16">
        <f>IF(A217="","",IF(P217=TRUE,0,IFERROR(I217,0)))</f>
        <v/>
      </c>
      <c r="U217" s="16">
        <f>IF(A217="","",IF(P217=TRUE,0,IFERROR(J217,0)))</f>
        <v/>
      </c>
      <c r="V217" s="16">
        <f>IF(A217="","",IF(P217=TRUE,0,IFERROR(K217,0)))</f>
        <v/>
      </c>
      <c r="W217" s="16">
        <f>IF(A217="","",IF(P217=TRUE,0,IFERROR(L217,0)))</f>
        <v/>
      </c>
      <c r="X217" s="16">
        <f>IF(A217="","",IF(P217=TRUE,0,IFERROR(H217,0)+IFERROR(I217,0)+IFERROR(L217,0)))</f>
        <v/>
      </c>
      <c r="Y217" s="16">
        <f>IF(A217="",0,IF(G217=TRUE,IFERROR(H217,0)+IFERROR(I217,0)+IFERROR(J217,0)+IFERROR(K217,0)+IFERROR(L217,0),0))</f>
        <v/>
      </c>
      <c r="Z217" s="16">
        <f>IF(A217="",0,IF(AND(O217=TRUE,G217&lt;&gt;TRUE),IFERROR(H217,0)+IFERROR(I217,0)+IFERROR(J217,0)+IFERROR(K217,0)+IFERROR(L217,0),0))</f>
        <v/>
      </c>
    </row>
    <row r="218">
      <c r="A218" s="10" t="n"/>
      <c r="B218" s="10" t="n"/>
      <c r="C218" s="11" t="n"/>
      <c r="D218" s="11" t="n"/>
      <c r="E218" s="10" t="n"/>
      <c r="F218" s="10" t="n"/>
      <c r="G218" s="12" t="n"/>
      <c r="H218" s="13" t="n"/>
      <c r="I218" s="13" t="n"/>
      <c r="J218" s="13" t="n"/>
      <c r="K218" s="13" t="n"/>
      <c r="L218" s="13" t="n"/>
      <c r="M218" s="14">
        <f>IFERROR(IF(A218="","",IFERROR(VLOOKUP(A218,Raw_PriorMonth!A:E,5,FALSE),0)),0)</f>
        <v/>
      </c>
      <c r="N218" s="14">
        <f>IF(A218="","",IFERROR(E218,0)+IFERROR(M218,0))</f>
        <v/>
      </c>
      <c r="O218" s="15">
        <f>IF(A218="","",IF(N218&gt;=28,TRUE,FALSE))</f>
        <v/>
      </c>
      <c r="P218" s="15">
        <f>IF(A218="","",OR(G218=TRUE,O218=TRUE))</f>
        <v/>
      </c>
      <c r="Q218" s="16">
        <f>IF(A218="","",IFERROR(H218,0)+IFERROR(I218,0)+IFERROR(J218,0)+IFERROR(K218,0)+IFERROR(L218,0))</f>
        <v/>
      </c>
      <c r="R218" s="16">
        <f>IF(A218="","",IF(P218=TRUE,0,Q218))</f>
        <v/>
      </c>
      <c r="S218" s="16">
        <f>IF(A218="","",IF(P218=TRUE,0,IFERROR(H218,0)))</f>
        <v/>
      </c>
      <c r="T218" s="16">
        <f>IF(A218="","",IF(P218=TRUE,0,IFERROR(I218,0)))</f>
        <v/>
      </c>
      <c r="U218" s="16">
        <f>IF(A218="","",IF(P218=TRUE,0,IFERROR(J218,0)))</f>
        <v/>
      </c>
      <c r="V218" s="16">
        <f>IF(A218="","",IF(P218=TRUE,0,IFERROR(K218,0)))</f>
        <v/>
      </c>
      <c r="W218" s="16">
        <f>IF(A218="","",IF(P218=TRUE,0,IFERROR(L218,0)))</f>
        <v/>
      </c>
      <c r="X218" s="16">
        <f>IF(A218="","",IF(P218=TRUE,0,IFERROR(H218,0)+IFERROR(I218,0)+IFERROR(L218,0)))</f>
        <v/>
      </c>
      <c r="Y218" s="16">
        <f>IF(A218="",0,IF(G218=TRUE,IFERROR(H218,0)+IFERROR(I218,0)+IFERROR(J218,0)+IFERROR(K218,0)+IFERROR(L218,0),0))</f>
        <v/>
      </c>
      <c r="Z218" s="16">
        <f>IF(A218="",0,IF(AND(O218=TRUE,G218&lt;&gt;TRUE),IFERROR(H218,0)+IFERROR(I218,0)+IFERROR(J218,0)+IFERROR(K218,0)+IFERROR(L218,0),0))</f>
        <v/>
      </c>
    </row>
    <row r="219">
      <c r="A219" s="10" t="n"/>
      <c r="B219" s="10" t="n"/>
      <c r="C219" s="11" t="n"/>
      <c r="D219" s="11" t="n"/>
      <c r="E219" s="10" t="n"/>
      <c r="F219" s="10" t="n"/>
      <c r="G219" s="12" t="n"/>
      <c r="H219" s="13" t="n"/>
      <c r="I219" s="13" t="n"/>
      <c r="J219" s="13" t="n"/>
      <c r="K219" s="13" t="n"/>
      <c r="L219" s="13" t="n"/>
      <c r="M219" s="14">
        <f>IFERROR(IF(A219="","",IFERROR(VLOOKUP(A219,Raw_PriorMonth!A:E,5,FALSE),0)),0)</f>
        <v/>
      </c>
      <c r="N219" s="14">
        <f>IF(A219="","",IFERROR(E219,0)+IFERROR(M219,0))</f>
        <v/>
      </c>
      <c r="O219" s="15">
        <f>IF(A219="","",IF(N219&gt;=28,TRUE,FALSE))</f>
        <v/>
      </c>
      <c r="P219" s="15">
        <f>IF(A219="","",OR(G219=TRUE,O219=TRUE))</f>
        <v/>
      </c>
      <c r="Q219" s="16">
        <f>IF(A219="","",IFERROR(H219,0)+IFERROR(I219,0)+IFERROR(J219,0)+IFERROR(K219,0)+IFERROR(L219,0))</f>
        <v/>
      </c>
      <c r="R219" s="16">
        <f>IF(A219="","",IF(P219=TRUE,0,Q219))</f>
        <v/>
      </c>
      <c r="S219" s="16">
        <f>IF(A219="","",IF(P219=TRUE,0,IFERROR(H219,0)))</f>
        <v/>
      </c>
      <c r="T219" s="16">
        <f>IF(A219="","",IF(P219=TRUE,0,IFERROR(I219,0)))</f>
        <v/>
      </c>
      <c r="U219" s="16">
        <f>IF(A219="","",IF(P219=TRUE,0,IFERROR(J219,0)))</f>
        <v/>
      </c>
      <c r="V219" s="16">
        <f>IF(A219="","",IF(P219=TRUE,0,IFERROR(K219,0)))</f>
        <v/>
      </c>
      <c r="W219" s="16">
        <f>IF(A219="","",IF(P219=TRUE,0,IFERROR(L219,0)))</f>
        <v/>
      </c>
      <c r="X219" s="16">
        <f>IF(A219="","",IF(P219=TRUE,0,IFERROR(H219,0)+IFERROR(I219,0)+IFERROR(L219,0)))</f>
        <v/>
      </c>
      <c r="Y219" s="16">
        <f>IF(A219="",0,IF(G219=TRUE,IFERROR(H219,0)+IFERROR(I219,0)+IFERROR(J219,0)+IFERROR(K219,0)+IFERROR(L219,0),0))</f>
        <v/>
      </c>
      <c r="Z219" s="16">
        <f>IF(A219="",0,IF(AND(O219=TRUE,G219&lt;&gt;TRUE),IFERROR(H219,0)+IFERROR(I219,0)+IFERROR(J219,0)+IFERROR(K219,0)+IFERROR(L219,0),0))</f>
        <v/>
      </c>
    </row>
    <row r="220">
      <c r="A220" s="10" t="n"/>
      <c r="B220" s="10" t="n"/>
      <c r="C220" s="11" t="n"/>
      <c r="D220" s="11" t="n"/>
      <c r="E220" s="10" t="n"/>
      <c r="F220" s="10" t="n"/>
      <c r="G220" s="12" t="n"/>
      <c r="H220" s="13" t="n"/>
      <c r="I220" s="13" t="n"/>
      <c r="J220" s="13" t="n"/>
      <c r="K220" s="13" t="n"/>
      <c r="L220" s="13" t="n"/>
      <c r="M220" s="14">
        <f>IFERROR(IF(A220="","",IFERROR(VLOOKUP(A220,Raw_PriorMonth!A:E,5,FALSE),0)),0)</f>
        <v/>
      </c>
      <c r="N220" s="14">
        <f>IF(A220="","",IFERROR(E220,0)+IFERROR(M220,0))</f>
        <v/>
      </c>
      <c r="O220" s="15">
        <f>IF(A220="","",IF(N220&gt;=28,TRUE,FALSE))</f>
        <v/>
      </c>
      <c r="P220" s="15">
        <f>IF(A220="","",OR(G220=TRUE,O220=TRUE))</f>
        <v/>
      </c>
      <c r="Q220" s="16">
        <f>IF(A220="","",IFERROR(H220,0)+IFERROR(I220,0)+IFERROR(J220,0)+IFERROR(K220,0)+IFERROR(L220,0))</f>
        <v/>
      </c>
      <c r="R220" s="16">
        <f>IF(A220="","",IF(P220=TRUE,0,Q220))</f>
        <v/>
      </c>
      <c r="S220" s="16">
        <f>IF(A220="","",IF(P220=TRUE,0,IFERROR(H220,0)))</f>
        <v/>
      </c>
      <c r="T220" s="16">
        <f>IF(A220="","",IF(P220=TRUE,0,IFERROR(I220,0)))</f>
        <v/>
      </c>
      <c r="U220" s="16">
        <f>IF(A220="","",IF(P220=TRUE,0,IFERROR(J220,0)))</f>
        <v/>
      </c>
      <c r="V220" s="16">
        <f>IF(A220="","",IF(P220=TRUE,0,IFERROR(K220,0)))</f>
        <v/>
      </c>
      <c r="W220" s="16">
        <f>IF(A220="","",IF(P220=TRUE,0,IFERROR(L220,0)))</f>
        <v/>
      </c>
      <c r="X220" s="16">
        <f>IF(A220="","",IF(P220=TRUE,0,IFERROR(H220,0)+IFERROR(I220,0)+IFERROR(L220,0)))</f>
        <v/>
      </c>
      <c r="Y220" s="16">
        <f>IF(A220="",0,IF(G220=TRUE,IFERROR(H220,0)+IFERROR(I220,0)+IFERROR(J220,0)+IFERROR(K220,0)+IFERROR(L220,0),0))</f>
        <v/>
      </c>
      <c r="Z220" s="16">
        <f>IF(A220="",0,IF(AND(O220=TRUE,G220&lt;&gt;TRUE),IFERROR(H220,0)+IFERROR(I220,0)+IFERROR(J220,0)+IFERROR(K220,0)+IFERROR(L220,0),0))</f>
        <v/>
      </c>
    </row>
    <row r="221">
      <c r="A221" s="10" t="n"/>
      <c r="B221" s="10" t="n"/>
      <c r="C221" s="11" t="n"/>
      <c r="D221" s="11" t="n"/>
      <c r="E221" s="10" t="n"/>
      <c r="F221" s="10" t="n"/>
      <c r="G221" s="12" t="n"/>
      <c r="H221" s="13" t="n"/>
      <c r="I221" s="13" t="n"/>
      <c r="J221" s="13" t="n"/>
      <c r="K221" s="13" t="n"/>
      <c r="L221" s="13" t="n"/>
      <c r="M221" s="14">
        <f>IFERROR(IF(A221="","",IFERROR(VLOOKUP(A221,Raw_PriorMonth!A:E,5,FALSE),0)),0)</f>
        <v/>
      </c>
      <c r="N221" s="14">
        <f>IF(A221="","",IFERROR(E221,0)+IFERROR(M221,0))</f>
        <v/>
      </c>
      <c r="O221" s="15">
        <f>IF(A221="","",IF(N221&gt;=28,TRUE,FALSE))</f>
        <v/>
      </c>
      <c r="P221" s="15">
        <f>IF(A221="","",OR(G221=TRUE,O221=TRUE))</f>
        <v/>
      </c>
      <c r="Q221" s="16">
        <f>IF(A221="","",IFERROR(H221,0)+IFERROR(I221,0)+IFERROR(J221,0)+IFERROR(K221,0)+IFERROR(L221,0))</f>
        <v/>
      </c>
      <c r="R221" s="16">
        <f>IF(A221="","",IF(P221=TRUE,0,Q221))</f>
        <v/>
      </c>
      <c r="S221" s="16">
        <f>IF(A221="","",IF(P221=TRUE,0,IFERROR(H221,0)))</f>
        <v/>
      </c>
      <c r="T221" s="16">
        <f>IF(A221="","",IF(P221=TRUE,0,IFERROR(I221,0)))</f>
        <v/>
      </c>
      <c r="U221" s="16">
        <f>IF(A221="","",IF(P221=TRUE,0,IFERROR(J221,0)))</f>
        <v/>
      </c>
      <c r="V221" s="16">
        <f>IF(A221="","",IF(P221=TRUE,0,IFERROR(K221,0)))</f>
        <v/>
      </c>
      <c r="W221" s="16">
        <f>IF(A221="","",IF(P221=TRUE,0,IFERROR(L221,0)))</f>
        <v/>
      </c>
      <c r="X221" s="16">
        <f>IF(A221="","",IF(P221=TRUE,0,IFERROR(H221,0)+IFERROR(I221,0)+IFERROR(L221,0)))</f>
        <v/>
      </c>
      <c r="Y221" s="16">
        <f>IF(A221="",0,IF(G221=TRUE,IFERROR(H221,0)+IFERROR(I221,0)+IFERROR(J221,0)+IFERROR(K221,0)+IFERROR(L221,0),0))</f>
        <v/>
      </c>
      <c r="Z221" s="16">
        <f>IF(A221="",0,IF(AND(O221=TRUE,G221&lt;&gt;TRUE),IFERROR(H221,0)+IFERROR(I221,0)+IFERROR(J221,0)+IFERROR(K221,0)+IFERROR(L221,0),0))</f>
        <v/>
      </c>
    </row>
    <row r="222">
      <c r="A222" s="10" t="n"/>
      <c r="B222" s="10" t="n"/>
      <c r="C222" s="11" t="n"/>
      <c r="D222" s="11" t="n"/>
      <c r="E222" s="10" t="n"/>
      <c r="F222" s="10" t="n"/>
      <c r="G222" s="12" t="n"/>
      <c r="H222" s="13" t="n"/>
      <c r="I222" s="13" t="n"/>
      <c r="J222" s="13" t="n"/>
      <c r="K222" s="13" t="n"/>
      <c r="L222" s="13" t="n"/>
      <c r="M222" s="14">
        <f>IFERROR(IF(A222="","",IFERROR(VLOOKUP(A222,Raw_PriorMonth!A:E,5,FALSE),0)),0)</f>
        <v/>
      </c>
      <c r="N222" s="14">
        <f>IF(A222="","",IFERROR(E222,0)+IFERROR(M222,0))</f>
        <v/>
      </c>
      <c r="O222" s="15">
        <f>IF(A222="","",IF(N222&gt;=28,TRUE,FALSE))</f>
        <v/>
      </c>
      <c r="P222" s="15">
        <f>IF(A222="","",OR(G222=TRUE,O222=TRUE))</f>
        <v/>
      </c>
      <c r="Q222" s="16">
        <f>IF(A222="","",IFERROR(H222,0)+IFERROR(I222,0)+IFERROR(J222,0)+IFERROR(K222,0)+IFERROR(L222,0))</f>
        <v/>
      </c>
      <c r="R222" s="16">
        <f>IF(A222="","",IF(P222=TRUE,0,Q222))</f>
        <v/>
      </c>
      <c r="S222" s="16">
        <f>IF(A222="","",IF(P222=TRUE,0,IFERROR(H222,0)))</f>
        <v/>
      </c>
      <c r="T222" s="16">
        <f>IF(A222="","",IF(P222=TRUE,0,IFERROR(I222,0)))</f>
        <v/>
      </c>
      <c r="U222" s="16">
        <f>IF(A222="","",IF(P222=TRUE,0,IFERROR(J222,0)))</f>
        <v/>
      </c>
      <c r="V222" s="16">
        <f>IF(A222="","",IF(P222=TRUE,0,IFERROR(K222,0)))</f>
        <v/>
      </c>
      <c r="W222" s="16">
        <f>IF(A222="","",IF(P222=TRUE,0,IFERROR(L222,0)))</f>
        <v/>
      </c>
      <c r="X222" s="16">
        <f>IF(A222="","",IF(P222=TRUE,0,IFERROR(H222,0)+IFERROR(I222,0)+IFERROR(L222,0)))</f>
        <v/>
      </c>
      <c r="Y222" s="16">
        <f>IF(A222="",0,IF(G222=TRUE,IFERROR(H222,0)+IFERROR(I222,0)+IFERROR(J222,0)+IFERROR(K222,0)+IFERROR(L222,0),0))</f>
        <v/>
      </c>
      <c r="Z222" s="16">
        <f>IF(A222="",0,IF(AND(O222=TRUE,G222&lt;&gt;TRUE),IFERROR(H222,0)+IFERROR(I222,0)+IFERROR(J222,0)+IFERROR(K222,0)+IFERROR(L222,0),0))</f>
        <v/>
      </c>
    </row>
    <row r="223">
      <c r="A223" s="10" t="n"/>
      <c r="B223" s="10" t="n"/>
      <c r="C223" s="11" t="n"/>
      <c r="D223" s="11" t="n"/>
      <c r="E223" s="10" t="n"/>
      <c r="F223" s="10" t="n"/>
      <c r="G223" s="12" t="n"/>
      <c r="H223" s="13" t="n"/>
      <c r="I223" s="13" t="n"/>
      <c r="J223" s="13" t="n"/>
      <c r="K223" s="13" t="n"/>
      <c r="L223" s="13" t="n"/>
      <c r="M223" s="14">
        <f>IFERROR(IF(A223="","",IFERROR(VLOOKUP(A223,Raw_PriorMonth!A:E,5,FALSE),0)),0)</f>
        <v/>
      </c>
      <c r="N223" s="14">
        <f>IF(A223="","",IFERROR(E223,0)+IFERROR(M223,0))</f>
        <v/>
      </c>
      <c r="O223" s="15">
        <f>IF(A223="","",IF(N223&gt;=28,TRUE,FALSE))</f>
        <v/>
      </c>
      <c r="P223" s="15">
        <f>IF(A223="","",OR(G223=TRUE,O223=TRUE))</f>
        <v/>
      </c>
      <c r="Q223" s="16">
        <f>IF(A223="","",IFERROR(H223,0)+IFERROR(I223,0)+IFERROR(J223,0)+IFERROR(K223,0)+IFERROR(L223,0))</f>
        <v/>
      </c>
      <c r="R223" s="16">
        <f>IF(A223="","",IF(P223=TRUE,0,Q223))</f>
        <v/>
      </c>
      <c r="S223" s="16">
        <f>IF(A223="","",IF(P223=TRUE,0,IFERROR(H223,0)))</f>
        <v/>
      </c>
      <c r="T223" s="16">
        <f>IF(A223="","",IF(P223=TRUE,0,IFERROR(I223,0)))</f>
        <v/>
      </c>
      <c r="U223" s="16">
        <f>IF(A223="","",IF(P223=TRUE,0,IFERROR(J223,0)))</f>
        <v/>
      </c>
      <c r="V223" s="16">
        <f>IF(A223="","",IF(P223=TRUE,0,IFERROR(K223,0)))</f>
        <v/>
      </c>
      <c r="W223" s="16">
        <f>IF(A223="","",IF(P223=TRUE,0,IFERROR(L223,0)))</f>
        <v/>
      </c>
      <c r="X223" s="16">
        <f>IF(A223="","",IF(P223=TRUE,0,IFERROR(H223,0)+IFERROR(I223,0)+IFERROR(L223,0)))</f>
        <v/>
      </c>
      <c r="Y223" s="16">
        <f>IF(A223="",0,IF(G223=TRUE,IFERROR(H223,0)+IFERROR(I223,0)+IFERROR(J223,0)+IFERROR(K223,0)+IFERROR(L223,0),0))</f>
        <v/>
      </c>
      <c r="Z223" s="16">
        <f>IF(A223="",0,IF(AND(O223=TRUE,G223&lt;&gt;TRUE),IFERROR(H223,0)+IFERROR(I223,0)+IFERROR(J223,0)+IFERROR(K223,0)+IFERROR(L223,0),0))</f>
        <v/>
      </c>
    </row>
    <row r="224">
      <c r="A224" s="10" t="n"/>
      <c r="B224" s="10" t="n"/>
      <c r="C224" s="11" t="n"/>
      <c r="D224" s="11" t="n"/>
      <c r="E224" s="10" t="n"/>
      <c r="F224" s="10" t="n"/>
      <c r="G224" s="12" t="n"/>
      <c r="H224" s="13" t="n"/>
      <c r="I224" s="13" t="n"/>
      <c r="J224" s="13" t="n"/>
      <c r="K224" s="13" t="n"/>
      <c r="L224" s="13" t="n"/>
      <c r="M224" s="14">
        <f>IFERROR(IF(A224="","",IFERROR(VLOOKUP(A224,Raw_PriorMonth!A:E,5,FALSE),0)),0)</f>
        <v/>
      </c>
      <c r="N224" s="14">
        <f>IF(A224="","",IFERROR(E224,0)+IFERROR(M224,0))</f>
        <v/>
      </c>
      <c r="O224" s="15">
        <f>IF(A224="","",IF(N224&gt;=28,TRUE,FALSE))</f>
        <v/>
      </c>
      <c r="P224" s="15">
        <f>IF(A224="","",OR(G224=TRUE,O224=TRUE))</f>
        <v/>
      </c>
      <c r="Q224" s="16">
        <f>IF(A224="","",IFERROR(H224,0)+IFERROR(I224,0)+IFERROR(J224,0)+IFERROR(K224,0)+IFERROR(L224,0))</f>
        <v/>
      </c>
      <c r="R224" s="16">
        <f>IF(A224="","",IF(P224=TRUE,0,Q224))</f>
        <v/>
      </c>
      <c r="S224" s="16">
        <f>IF(A224="","",IF(P224=TRUE,0,IFERROR(H224,0)))</f>
        <v/>
      </c>
      <c r="T224" s="16">
        <f>IF(A224="","",IF(P224=TRUE,0,IFERROR(I224,0)))</f>
        <v/>
      </c>
      <c r="U224" s="16">
        <f>IF(A224="","",IF(P224=TRUE,0,IFERROR(J224,0)))</f>
        <v/>
      </c>
      <c r="V224" s="16">
        <f>IF(A224="","",IF(P224=TRUE,0,IFERROR(K224,0)))</f>
        <v/>
      </c>
      <c r="W224" s="16">
        <f>IF(A224="","",IF(P224=TRUE,0,IFERROR(L224,0)))</f>
        <v/>
      </c>
      <c r="X224" s="16">
        <f>IF(A224="","",IF(P224=TRUE,0,IFERROR(H224,0)+IFERROR(I224,0)+IFERROR(L224,0)))</f>
        <v/>
      </c>
      <c r="Y224" s="16">
        <f>IF(A224="",0,IF(G224=TRUE,IFERROR(H224,0)+IFERROR(I224,0)+IFERROR(J224,0)+IFERROR(K224,0)+IFERROR(L224,0),0))</f>
        <v/>
      </c>
      <c r="Z224" s="16">
        <f>IF(A224="",0,IF(AND(O224=TRUE,G224&lt;&gt;TRUE),IFERROR(H224,0)+IFERROR(I224,0)+IFERROR(J224,0)+IFERROR(K224,0)+IFERROR(L224,0),0))</f>
        <v/>
      </c>
    </row>
    <row r="225">
      <c r="A225" s="10" t="n"/>
      <c r="B225" s="10" t="n"/>
      <c r="C225" s="11" t="n"/>
      <c r="D225" s="11" t="n"/>
      <c r="E225" s="10" t="n"/>
      <c r="F225" s="10" t="n"/>
      <c r="G225" s="12" t="n"/>
      <c r="H225" s="13" t="n"/>
      <c r="I225" s="13" t="n"/>
      <c r="J225" s="13" t="n"/>
      <c r="K225" s="13" t="n"/>
      <c r="L225" s="13" t="n"/>
      <c r="M225" s="14">
        <f>IFERROR(IF(A225="","",IFERROR(VLOOKUP(A225,Raw_PriorMonth!A:E,5,FALSE),0)),0)</f>
        <v/>
      </c>
      <c r="N225" s="14">
        <f>IF(A225="","",IFERROR(E225,0)+IFERROR(M225,0))</f>
        <v/>
      </c>
      <c r="O225" s="15">
        <f>IF(A225="","",IF(N225&gt;=28,TRUE,FALSE))</f>
        <v/>
      </c>
      <c r="P225" s="15">
        <f>IF(A225="","",OR(G225=TRUE,O225=TRUE))</f>
        <v/>
      </c>
      <c r="Q225" s="16">
        <f>IF(A225="","",IFERROR(H225,0)+IFERROR(I225,0)+IFERROR(J225,0)+IFERROR(K225,0)+IFERROR(L225,0))</f>
        <v/>
      </c>
      <c r="R225" s="16">
        <f>IF(A225="","",IF(P225=TRUE,0,Q225))</f>
        <v/>
      </c>
      <c r="S225" s="16">
        <f>IF(A225="","",IF(P225=TRUE,0,IFERROR(H225,0)))</f>
        <v/>
      </c>
      <c r="T225" s="16">
        <f>IF(A225="","",IF(P225=TRUE,0,IFERROR(I225,0)))</f>
        <v/>
      </c>
      <c r="U225" s="16">
        <f>IF(A225="","",IF(P225=TRUE,0,IFERROR(J225,0)))</f>
        <v/>
      </c>
      <c r="V225" s="16">
        <f>IF(A225="","",IF(P225=TRUE,0,IFERROR(K225,0)))</f>
        <v/>
      </c>
      <c r="W225" s="16">
        <f>IF(A225="","",IF(P225=TRUE,0,IFERROR(L225,0)))</f>
        <v/>
      </c>
      <c r="X225" s="16">
        <f>IF(A225="","",IF(P225=TRUE,0,IFERROR(H225,0)+IFERROR(I225,0)+IFERROR(L225,0)))</f>
        <v/>
      </c>
      <c r="Y225" s="16">
        <f>IF(A225="",0,IF(G225=TRUE,IFERROR(H225,0)+IFERROR(I225,0)+IFERROR(J225,0)+IFERROR(K225,0)+IFERROR(L225,0),0))</f>
        <v/>
      </c>
      <c r="Z225" s="16">
        <f>IF(A225="",0,IF(AND(O225=TRUE,G225&lt;&gt;TRUE),IFERROR(H225,0)+IFERROR(I225,0)+IFERROR(J225,0)+IFERROR(K225,0)+IFERROR(L225,0),0))</f>
        <v/>
      </c>
    </row>
    <row r="226">
      <c r="A226" s="10" t="n"/>
      <c r="B226" s="10" t="n"/>
      <c r="C226" s="11" t="n"/>
      <c r="D226" s="11" t="n"/>
      <c r="E226" s="10" t="n"/>
      <c r="F226" s="10" t="n"/>
      <c r="G226" s="12" t="n"/>
      <c r="H226" s="13" t="n"/>
      <c r="I226" s="13" t="n"/>
      <c r="J226" s="13" t="n"/>
      <c r="K226" s="13" t="n"/>
      <c r="L226" s="13" t="n"/>
      <c r="M226" s="14">
        <f>IFERROR(IF(A226="","",IFERROR(VLOOKUP(A226,Raw_PriorMonth!A:E,5,FALSE),0)),0)</f>
        <v/>
      </c>
      <c r="N226" s="14">
        <f>IF(A226="","",IFERROR(E226,0)+IFERROR(M226,0))</f>
        <v/>
      </c>
      <c r="O226" s="15">
        <f>IF(A226="","",IF(N226&gt;=28,TRUE,FALSE))</f>
        <v/>
      </c>
      <c r="P226" s="15">
        <f>IF(A226="","",OR(G226=TRUE,O226=TRUE))</f>
        <v/>
      </c>
      <c r="Q226" s="16">
        <f>IF(A226="","",IFERROR(H226,0)+IFERROR(I226,0)+IFERROR(J226,0)+IFERROR(K226,0)+IFERROR(L226,0))</f>
        <v/>
      </c>
      <c r="R226" s="16">
        <f>IF(A226="","",IF(P226=TRUE,0,Q226))</f>
        <v/>
      </c>
      <c r="S226" s="16">
        <f>IF(A226="","",IF(P226=TRUE,0,IFERROR(H226,0)))</f>
        <v/>
      </c>
      <c r="T226" s="16">
        <f>IF(A226="","",IF(P226=TRUE,0,IFERROR(I226,0)))</f>
        <v/>
      </c>
      <c r="U226" s="16">
        <f>IF(A226="","",IF(P226=TRUE,0,IFERROR(J226,0)))</f>
        <v/>
      </c>
      <c r="V226" s="16">
        <f>IF(A226="","",IF(P226=TRUE,0,IFERROR(K226,0)))</f>
        <v/>
      </c>
      <c r="W226" s="16">
        <f>IF(A226="","",IF(P226=TRUE,0,IFERROR(L226,0)))</f>
        <v/>
      </c>
      <c r="X226" s="16">
        <f>IF(A226="","",IF(P226=TRUE,0,IFERROR(H226,0)+IFERROR(I226,0)+IFERROR(L226,0)))</f>
        <v/>
      </c>
      <c r="Y226" s="16">
        <f>IF(A226="",0,IF(G226=TRUE,IFERROR(H226,0)+IFERROR(I226,0)+IFERROR(J226,0)+IFERROR(K226,0)+IFERROR(L226,0),0))</f>
        <v/>
      </c>
      <c r="Z226" s="16">
        <f>IF(A226="",0,IF(AND(O226=TRUE,G226&lt;&gt;TRUE),IFERROR(H226,0)+IFERROR(I226,0)+IFERROR(J226,0)+IFERROR(K226,0)+IFERROR(L226,0),0))</f>
        <v/>
      </c>
    </row>
    <row r="227">
      <c r="A227" s="10" t="n"/>
      <c r="B227" s="10" t="n"/>
      <c r="C227" s="11" t="n"/>
      <c r="D227" s="11" t="n"/>
      <c r="E227" s="10" t="n"/>
      <c r="F227" s="10" t="n"/>
      <c r="G227" s="12" t="n"/>
      <c r="H227" s="13" t="n"/>
      <c r="I227" s="13" t="n"/>
      <c r="J227" s="13" t="n"/>
      <c r="K227" s="13" t="n"/>
      <c r="L227" s="13" t="n"/>
      <c r="M227" s="14">
        <f>IFERROR(IF(A227="","",IFERROR(VLOOKUP(A227,Raw_PriorMonth!A:E,5,FALSE),0)),0)</f>
        <v/>
      </c>
      <c r="N227" s="14">
        <f>IF(A227="","",IFERROR(E227,0)+IFERROR(M227,0))</f>
        <v/>
      </c>
      <c r="O227" s="15">
        <f>IF(A227="","",IF(N227&gt;=28,TRUE,FALSE))</f>
        <v/>
      </c>
      <c r="P227" s="15">
        <f>IF(A227="","",OR(G227=TRUE,O227=TRUE))</f>
        <v/>
      </c>
      <c r="Q227" s="16">
        <f>IF(A227="","",IFERROR(H227,0)+IFERROR(I227,0)+IFERROR(J227,0)+IFERROR(K227,0)+IFERROR(L227,0))</f>
        <v/>
      </c>
      <c r="R227" s="16">
        <f>IF(A227="","",IF(P227=TRUE,0,Q227))</f>
        <v/>
      </c>
      <c r="S227" s="16">
        <f>IF(A227="","",IF(P227=TRUE,0,IFERROR(H227,0)))</f>
        <v/>
      </c>
      <c r="T227" s="16">
        <f>IF(A227="","",IF(P227=TRUE,0,IFERROR(I227,0)))</f>
        <v/>
      </c>
      <c r="U227" s="16">
        <f>IF(A227="","",IF(P227=TRUE,0,IFERROR(J227,0)))</f>
        <v/>
      </c>
      <c r="V227" s="16">
        <f>IF(A227="","",IF(P227=TRUE,0,IFERROR(K227,0)))</f>
        <v/>
      </c>
      <c r="W227" s="16">
        <f>IF(A227="","",IF(P227=TRUE,0,IFERROR(L227,0)))</f>
        <v/>
      </c>
      <c r="X227" s="16">
        <f>IF(A227="","",IF(P227=TRUE,0,IFERROR(H227,0)+IFERROR(I227,0)+IFERROR(L227,0)))</f>
        <v/>
      </c>
      <c r="Y227" s="16">
        <f>IF(A227="",0,IF(G227=TRUE,IFERROR(H227,0)+IFERROR(I227,0)+IFERROR(J227,0)+IFERROR(K227,0)+IFERROR(L227,0),0))</f>
        <v/>
      </c>
      <c r="Z227" s="16">
        <f>IF(A227="",0,IF(AND(O227=TRUE,G227&lt;&gt;TRUE),IFERROR(H227,0)+IFERROR(I227,0)+IFERROR(J227,0)+IFERROR(K227,0)+IFERROR(L227,0),0))</f>
        <v/>
      </c>
    </row>
    <row r="228">
      <c r="A228" s="10" t="n"/>
      <c r="B228" s="10" t="n"/>
      <c r="C228" s="11" t="n"/>
      <c r="D228" s="11" t="n"/>
      <c r="E228" s="10" t="n"/>
      <c r="F228" s="10" t="n"/>
      <c r="G228" s="12" t="n"/>
      <c r="H228" s="13" t="n"/>
      <c r="I228" s="13" t="n"/>
      <c r="J228" s="13" t="n"/>
      <c r="K228" s="13" t="n"/>
      <c r="L228" s="13" t="n"/>
      <c r="M228" s="14">
        <f>IFERROR(IF(A228="","",IFERROR(VLOOKUP(A228,Raw_PriorMonth!A:E,5,FALSE),0)),0)</f>
        <v/>
      </c>
      <c r="N228" s="14">
        <f>IF(A228="","",IFERROR(E228,0)+IFERROR(M228,0))</f>
        <v/>
      </c>
      <c r="O228" s="15">
        <f>IF(A228="","",IF(N228&gt;=28,TRUE,FALSE))</f>
        <v/>
      </c>
      <c r="P228" s="15">
        <f>IF(A228="","",OR(G228=TRUE,O228=TRUE))</f>
        <v/>
      </c>
      <c r="Q228" s="16">
        <f>IF(A228="","",IFERROR(H228,0)+IFERROR(I228,0)+IFERROR(J228,0)+IFERROR(K228,0)+IFERROR(L228,0))</f>
        <v/>
      </c>
      <c r="R228" s="16">
        <f>IF(A228="","",IF(P228=TRUE,0,Q228))</f>
        <v/>
      </c>
      <c r="S228" s="16">
        <f>IF(A228="","",IF(P228=TRUE,0,IFERROR(H228,0)))</f>
        <v/>
      </c>
      <c r="T228" s="16">
        <f>IF(A228="","",IF(P228=TRUE,0,IFERROR(I228,0)))</f>
        <v/>
      </c>
      <c r="U228" s="16">
        <f>IF(A228="","",IF(P228=TRUE,0,IFERROR(J228,0)))</f>
        <v/>
      </c>
      <c r="V228" s="16">
        <f>IF(A228="","",IF(P228=TRUE,0,IFERROR(K228,0)))</f>
        <v/>
      </c>
      <c r="W228" s="16">
        <f>IF(A228="","",IF(P228=TRUE,0,IFERROR(L228,0)))</f>
        <v/>
      </c>
      <c r="X228" s="16">
        <f>IF(A228="","",IF(P228=TRUE,0,IFERROR(H228,0)+IFERROR(I228,0)+IFERROR(L228,0)))</f>
        <v/>
      </c>
      <c r="Y228" s="16">
        <f>IF(A228="",0,IF(G228=TRUE,IFERROR(H228,0)+IFERROR(I228,0)+IFERROR(J228,0)+IFERROR(K228,0)+IFERROR(L228,0),0))</f>
        <v/>
      </c>
      <c r="Z228" s="16">
        <f>IF(A228="",0,IF(AND(O228=TRUE,G228&lt;&gt;TRUE),IFERROR(H228,0)+IFERROR(I228,0)+IFERROR(J228,0)+IFERROR(K228,0)+IFERROR(L228,0),0))</f>
        <v/>
      </c>
    </row>
    <row r="229">
      <c r="A229" s="10" t="n"/>
      <c r="B229" s="10" t="n"/>
      <c r="C229" s="11" t="n"/>
      <c r="D229" s="11" t="n"/>
      <c r="E229" s="10" t="n"/>
      <c r="F229" s="10" t="n"/>
      <c r="G229" s="12" t="n"/>
      <c r="H229" s="13" t="n"/>
      <c r="I229" s="13" t="n"/>
      <c r="J229" s="13" t="n"/>
      <c r="K229" s="13" t="n"/>
      <c r="L229" s="13" t="n"/>
      <c r="M229" s="14">
        <f>IFERROR(IF(A229="","",IFERROR(VLOOKUP(A229,Raw_PriorMonth!A:E,5,FALSE),0)),0)</f>
        <v/>
      </c>
      <c r="N229" s="14">
        <f>IF(A229="","",IFERROR(E229,0)+IFERROR(M229,0))</f>
        <v/>
      </c>
      <c r="O229" s="15">
        <f>IF(A229="","",IF(N229&gt;=28,TRUE,FALSE))</f>
        <v/>
      </c>
      <c r="P229" s="15">
        <f>IF(A229="","",OR(G229=TRUE,O229=TRUE))</f>
        <v/>
      </c>
      <c r="Q229" s="16">
        <f>IF(A229="","",IFERROR(H229,0)+IFERROR(I229,0)+IFERROR(J229,0)+IFERROR(K229,0)+IFERROR(L229,0))</f>
        <v/>
      </c>
      <c r="R229" s="16">
        <f>IF(A229="","",IF(P229=TRUE,0,Q229))</f>
        <v/>
      </c>
      <c r="S229" s="16">
        <f>IF(A229="","",IF(P229=TRUE,0,IFERROR(H229,0)))</f>
        <v/>
      </c>
      <c r="T229" s="16">
        <f>IF(A229="","",IF(P229=TRUE,0,IFERROR(I229,0)))</f>
        <v/>
      </c>
      <c r="U229" s="16">
        <f>IF(A229="","",IF(P229=TRUE,0,IFERROR(J229,0)))</f>
        <v/>
      </c>
      <c r="V229" s="16">
        <f>IF(A229="","",IF(P229=TRUE,0,IFERROR(K229,0)))</f>
        <v/>
      </c>
      <c r="W229" s="16">
        <f>IF(A229="","",IF(P229=TRUE,0,IFERROR(L229,0)))</f>
        <v/>
      </c>
      <c r="X229" s="16">
        <f>IF(A229="","",IF(P229=TRUE,0,IFERROR(H229,0)+IFERROR(I229,0)+IFERROR(L229,0)))</f>
        <v/>
      </c>
      <c r="Y229" s="16">
        <f>IF(A229="",0,IF(G229=TRUE,IFERROR(H229,0)+IFERROR(I229,0)+IFERROR(J229,0)+IFERROR(K229,0)+IFERROR(L229,0),0))</f>
        <v/>
      </c>
      <c r="Z229" s="16">
        <f>IF(A229="",0,IF(AND(O229=TRUE,G229&lt;&gt;TRUE),IFERROR(H229,0)+IFERROR(I229,0)+IFERROR(J229,0)+IFERROR(K229,0)+IFERROR(L229,0),0))</f>
        <v/>
      </c>
    </row>
    <row r="230">
      <c r="A230" s="10" t="n"/>
      <c r="B230" s="10" t="n"/>
      <c r="C230" s="11" t="n"/>
      <c r="D230" s="11" t="n"/>
      <c r="E230" s="10" t="n"/>
      <c r="F230" s="10" t="n"/>
      <c r="G230" s="12" t="n"/>
      <c r="H230" s="13" t="n"/>
      <c r="I230" s="13" t="n"/>
      <c r="J230" s="13" t="n"/>
      <c r="K230" s="13" t="n"/>
      <c r="L230" s="13" t="n"/>
      <c r="M230" s="14">
        <f>IFERROR(IF(A230="","",IFERROR(VLOOKUP(A230,Raw_PriorMonth!A:E,5,FALSE),0)),0)</f>
        <v/>
      </c>
      <c r="N230" s="14">
        <f>IF(A230="","",IFERROR(E230,0)+IFERROR(M230,0))</f>
        <v/>
      </c>
      <c r="O230" s="15">
        <f>IF(A230="","",IF(N230&gt;=28,TRUE,FALSE))</f>
        <v/>
      </c>
      <c r="P230" s="15">
        <f>IF(A230="","",OR(G230=TRUE,O230=TRUE))</f>
        <v/>
      </c>
      <c r="Q230" s="16">
        <f>IF(A230="","",IFERROR(H230,0)+IFERROR(I230,0)+IFERROR(J230,0)+IFERROR(K230,0)+IFERROR(L230,0))</f>
        <v/>
      </c>
      <c r="R230" s="16">
        <f>IF(A230="","",IF(P230=TRUE,0,Q230))</f>
        <v/>
      </c>
      <c r="S230" s="16">
        <f>IF(A230="","",IF(P230=TRUE,0,IFERROR(H230,0)))</f>
        <v/>
      </c>
      <c r="T230" s="16">
        <f>IF(A230="","",IF(P230=TRUE,0,IFERROR(I230,0)))</f>
        <v/>
      </c>
      <c r="U230" s="16">
        <f>IF(A230="","",IF(P230=TRUE,0,IFERROR(J230,0)))</f>
        <v/>
      </c>
      <c r="V230" s="16">
        <f>IF(A230="","",IF(P230=TRUE,0,IFERROR(K230,0)))</f>
        <v/>
      </c>
      <c r="W230" s="16">
        <f>IF(A230="","",IF(P230=TRUE,0,IFERROR(L230,0)))</f>
        <v/>
      </c>
      <c r="X230" s="16">
        <f>IF(A230="","",IF(P230=TRUE,0,IFERROR(H230,0)+IFERROR(I230,0)+IFERROR(L230,0)))</f>
        <v/>
      </c>
      <c r="Y230" s="16">
        <f>IF(A230="",0,IF(G230=TRUE,IFERROR(H230,0)+IFERROR(I230,0)+IFERROR(J230,0)+IFERROR(K230,0)+IFERROR(L230,0),0))</f>
        <v/>
      </c>
      <c r="Z230" s="16">
        <f>IF(A230="",0,IF(AND(O230=TRUE,G230&lt;&gt;TRUE),IFERROR(H230,0)+IFERROR(I230,0)+IFERROR(J230,0)+IFERROR(K230,0)+IFERROR(L230,0),0))</f>
        <v/>
      </c>
    </row>
    <row r="231">
      <c r="A231" s="10" t="n"/>
      <c r="B231" s="10" t="n"/>
      <c r="C231" s="11" t="n"/>
      <c r="D231" s="11" t="n"/>
      <c r="E231" s="10" t="n"/>
      <c r="F231" s="10" t="n"/>
      <c r="G231" s="12" t="n"/>
      <c r="H231" s="13" t="n"/>
      <c r="I231" s="13" t="n"/>
      <c r="J231" s="13" t="n"/>
      <c r="K231" s="13" t="n"/>
      <c r="L231" s="13" t="n"/>
      <c r="M231" s="14">
        <f>IFERROR(IF(A231="","",IFERROR(VLOOKUP(A231,Raw_PriorMonth!A:E,5,FALSE),0)),0)</f>
        <v/>
      </c>
      <c r="N231" s="14">
        <f>IF(A231="","",IFERROR(E231,0)+IFERROR(M231,0))</f>
        <v/>
      </c>
      <c r="O231" s="15">
        <f>IF(A231="","",IF(N231&gt;=28,TRUE,FALSE))</f>
        <v/>
      </c>
      <c r="P231" s="15">
        <f>IF(A231="","",OR(G231=TRUE,O231=TRUE))</f>
        <v/>
      </c>
      <c r="Q231" s="16">
        <f>IF(A231="","",IFERROR(H231,0)+IFERROR(I231,0)+IFERROR(J231,0)+IFERROR(K231,0)+IFERROR(L231,0))</f>
        <v/>
      </c>
      <c r="R231" s="16">
        <f>IF(A231="","",IF(P231=TRUE,0,Q231))</f>
        <v/>
      </c>
      <c r="S231" s="16">
        <f>IF(A231="","",IF(P231=TRUE,0,IFERROR(H231,0)))</f>
        <v/>
      </c>
      <c r="T231" s="16">
        <f>IF(A231="","",IF(P231=TRUE,0,IFERROR(I231,0)))</f>
        <v/>
      </c>
      <c r="U231" s="16">
        <f>IF(A231="","",IF(P231=TRUE,0,IFERROR(J231,0)))</f>
        <v/>
      </c>
      <c r="V231" s="16">
        <f>IF(A231="","",IF(P231=TRUE,0,IFERROR(K231,0)))</f>
        <v/>
      </c>
      <c r="W231" s="16">
        <f>IF(A231="","",IF(P231=TRUE,0,IFERROR(L231,0)))</f>
        <v/>
      </c>
      <c r="X231" s="16">
        <f>IF(A231="","",IF(P231=TRUE,0,IFERROR(H231,0)+IFERROR(I231,0)+IFERROR(L231,0)))</f>
        <v/>
      </c>
      <c r="Y231" s="16">
        <f>IF(A231="",0,IF(G231=TRUE,IFERROR(H231,0)+IFERROR(I231,0)+IFERROR(J231,0)+IFERROR(K231,0)+IFERROR(L231,0),0))</f>
        <v/>
      </c>
      <c r="Z231" s="16">
        <f>IF(A231="",0,IF(AND(O231=TRUE,G231&lt;&gt;TRUE),IFERROR(H231,0)+IFERROR(I231,0)+IFERROR(J231,0)+IFERROR(K231,0)+IFERROR(L231,0),0))</f>
        <v/>
      </c>
    </row>
    <row r="232">
      <c r="A232" s="10" t="n"/>
      <c r="B232" s="10" t="n"/>
      <c r="C232" s="11" t="n"/>
      <c r="D232" s="11" t="n"/>
      <c r="E232" s="10" t="n"/>
      <c r="F232" s="10" t="n"/>
      <c r="G232" s="12" t="n"/>
      <c r="H232" s="13" t="n"/>
      <c r="I232" s="13" t="n"/>
      <c r="J232" s="13" t="n"/>
      <c r="K232" s="13" t="n"/>
      <c r="L232" s="13" t="n"/>
      <c r="M232" s="14">
        <f>IFERROR(IF(A232="","",IFERROR(VLOOKUP(A232,Raw_PriorMonth!A:E,5,FALSE),0)),0)</f>
        <v/>
      </c>
      <c r="N232" s="14">
        <f>IF(A232="","",IFERROR(E232,0)+IFERROR(M232,0))</f>
        <v/>
      </c>
      <c r="O232" s="15">
        <f>IF(A232="","",IF(N232&gt;=28,TRUE,FALSE))</f>
        <v/>
      </c>
      <c r="P232" s="15">
        <f>IF(A232="","",OR(G232=TRUE,O232=TRUE))</f>
        <v/>
      </c>
      <c r="Q232" s="16">
        <f>IF(A232="","",IFERROR(H232,0)+IFERROR(I232,0)+IFERROR(J232,0)+IFERROR(K232,0)+IFERROR(L232,0))</f>
        <v/>
      </c>
      <c r="R232" s="16">
        <f>IF(A232="","",IF(P232=TRUE,0,Q232))</f>
        <v/>
      </c>
      <c r="S232" s="16">
        <f>IF(A232="","",IF(P232=TRUE,0,IFERROR(H232,0)))</f>
        <v/>
      </c>
      <c r="T232" s="16">
        <f>IF(A232="","",IF(P232=TRUE,0,IFERROR(I232,0)))</f>
        <v/>
      </c>
      <c r="U232" s="16">
        <f>IF(A232="","",IF(P232=TRUE,0,IFERROR(J232,0)))</f>
        <v/>
      </c>
      <c r="V232" s="16">
        <f>IF(A232="","",IF(P232=TRUE,0,IFERROR(K232,0)))</f>
        <v/>
      </c>
      <c r="W232" s="16">
        <f>IF(A232="","",IF(P232=TRUE,0,IFERROR(L232,0)))</f>
        <v/>
      </c>
      <c r="X232" s="16">
        <f>IF(A232="","",IF(P232=TRUE,0,IFERROR(H232,0)+IFERROR(I232,0)+IFERROR(L232,0)))</f>
        <v/>
      </c>
      <c r="Y232" s="16">
        <f>IF(A232="",0,IF(G232=TRUE,IFERROR(H232,0)+IFERROR(I232,0)+IFERROR(J232,0)+IFERROR(K232,0)+IFERROR(L232,0),0))</f>
        <v/>
      </c>
      <c r="Z232" s="16">
        <f>IF(A232="",0,IF(AND(O232=TRUE,G232&lt;&gt;TRUE),IFERROR(H232,0)+IFERROR(I232,0)+IFERROR(J232,0)+IFERROR(K232,0)+IFERROR(L232,0),0))</f>
        <v/>
      </c>
    </row>
    <row r="233">
      <c r="A233" s="10" t="n"/>
      <c r="B233" s="10" t="n"/>
      <c r="C233" s="11" t="n"/>
      <c r="D233" s="11" t="n"/>
      <c r="E233" s="10" t="n"/>
      <c r="F233" s="10" t="n"/>
      <c r="G233" s="12" t="n"/>
      <c r="H233" s="13" t="n"/>
      <c r="I233" s="13" t="n"/>
      <c r="J233" s="13" t="n"/>
      <c r="K233" s="13" t="n"/>
      <c r="L233" s="13" t="n"/>
      <c r="M233" s="14">
        <f>IFERROR(IF(A233="","",IFERROR(VLOOKUP(A233,Raw_PriorMonth!A:E,5,FALSE),0)),0)</f>
        <v/>
      </c>
      <c r="N233" s="14">
        <f>IF(A233="","",IFERROR(E233,0)+IFERROR(M233,0))</f>
        <v/>
      </c>
      <c r="O233" s="15">
        <f>IF(A233="","",IF(N233&gt;=28,TRUE,FALSE))</f>
        <v/>
      </c>
      <c r="P233" s="15">
        <f>IF(A233="","",OR(G233=TRUE,O233=TRUE))</f>
        <v/>
      </c>
      <c r="Q233" s="16">
        <f>IF(A233="","",IFERROR(H233,0)+IFERROR(I233,0)+IFERROR(J233,0)+IFERROR(K233,0)+IFERROR(L233,0))</f>
        <v/>
      </c>
      <c r="R233" s="16">
        <f>IF(A233="","",IF(P233=TRUE,0,Q233))</f>
        <v/>
      </c>
      <c r="S233" s="16">
        <f>IF(A233="","",IF(P233=TRUE,0,IFERROR(H233,0)))</f>
        <v/>
      </c>
      <c r="T233" s="16">
        <f>IF(A233="","",IF(P233=TRUE,0,IFERROR(I233,0)))</f>
        <v/>
      </c>
      <c r="U233" s="16">
        <f>IF(A233="","",IF(P233=TRUE,0,IFERROR(J233,0)))</f>
        <v/>
      </c>
      <c r="V233" s="16">
        <f>IF(A233="","",IF(P233=TRUE,0,IFERROR(K233,0)))</f>
        <v/>
      </c>
      <c r="W233" s="16">
        <f>IF(A233="","",IF(P233=TRUE,0,IFERROR(L233,0)))</f>
        <v/>
      </c>
      <c r="X233" s="16">
        <f>IF(A233="","",IF(P233=TRUE,0,IFERROR(H233,0)+IFERROR(I233,0)+IFERROR(L233,0)))</f>
        <v/>
      </c>
      <c r="Y233" s="16">
        <f>IF(A233="",0,IF(G233=TRUE,IFERROR(H233,0)+IFERROR(I233,0)+IFERROR(J233,0)+IFERROR(K233,0)+IFERROR(L233,0),0))</f>
        <v/>
      </c>
      <c r="Z233" s="16">
        <f>IF(A233="",0,IF(AND(O233=TRUE,G233&lt;&gt;TRUE),IFERROR(H233,0)+IFERROR(I233,0)+IFERROR(J233,0)+IFERROR(K233,0)+IFERROR(L233,0),0))</f>
        <v/>
      </c>
    </row>
    <row r="234">
      <c r="A234" s="10" t="n"/>
      <c r="B234" s="10" t="n"/>
      <c r="C234" s="11" t="n"/>
      <c r="D234" s="11" t="n"/>
      <c r="E234" s="10" t="n"/>
      <c r="F234" s="10" t="n"/>
      <c r="G234" s="12" t="n"/>
      <c r="H234" s="13" t="n"/>
      <c r="I234" s="13" t="n"/>
      <c r="J234" s="13" t="n"/>
      <c r="K234" s="13" t="n"/>
      <c r="L234" s="13" t="n"/>
      <c r="M234" s="14">
        <f>IFERROR(IF(A234="","",IFERROR(VLOOKUP(A234,Raw_PriorMonth!A:E,5,FALSE),0)),0)</f>
        <v/>
      </c>
      <c r="N234" s="14">
        <f>IF(A234="","",IFERROR(E234,0)+IFERROR(M234,0))</f>
        <v/>
      </c>
      <c r="O234" s="15">
        <f>IF(A234="","",IF(N234&gt;=28,TRUE,FALSE))</f>
        <v/>
      </c>
      <c r="P234" s="15">
        <f>IF(A234="","",OR(G234=TRUE,O234=TRUE))</f>
        <v/>
      </c>
      <c r="Q234" s="16">
        <f>IF(A234="","",IFERROR(H234,0)+IFERROR(I234,0)+IFERROR(J234,0)+IFERROR(K234,0)+IFERROR(L234,0))</f>
        <v/>
      </c>
      <c r="R234" s="16">
        <f>IF(A234="","",IF(P234=TRUE,0,Q234))</f>
        <v/>
      </c>
      <c r="S234" s="16">
        <f>IF(A234="","",IF(P234=TRUE,0,IFERROR(H234,0)))</f>
        <v/>
      </c>
      <c r="T234" s="16">
        <f>IF(A234="","",IF(P234=TRUE,0,IFERROR(I234,0)))</f>
        <v/>
      </c>
      <c r="U234" s="16">
        <f>IF(A234="","",IF(P234=TRUE,0,IFERROR(J234,0)))</f>
        <v/>
      </c>
      <c r="V234" s="16">
        <f>IF(A234="","",IF(P234=TRUE,0,IFERROR(K234,0)))</f>
        <v/>
      </c>
      <c r="W234" s="16">
        <f>IF(A234="","",IF(P234=TRUE,0,IFERROR(L234,0)))</f>
        <v/>
      </c>
      <c r="X234" s="16">
        <f>IF(A234="","",IF(P234=TRUE,0,IFERROR(H234,0)+IFERROR(I234,0)+IFERROR(L234,0)))</f>
        <v/>
      </c>
      <c r="Y234" s="16">
        <f>IF(A234="",0,IF(G234=TRUE,IFERROR(H234,0)+IFERROR(I234,0)+IFERROR(J234,0)+IFERROR(K234,0)+IFERROR(L234,0),0))</f>
        <v/>
      </c>
      <c r="Z234" s="16">
        <f>IF(A234="",0,IF(AND(O234=TRUE,G234&lt;&gt;TRUE),IFERROR(H234,0)+IFERROR(I234,0)+IFERROR(J234,0)+IFERROR(K234,0)+IFERROR(L234,0),0))</f>
        <v/>
      </c>
    </row>
    <row r="235">
      <c r="A235" s="10" t="n"/>
      <c r="B235" s="10" t="n"/>
      <c r="C235" s="11" t="n"/>
      <c r="D235" s="11" t="n"/>
      <c r="E235" s="10" t="n"/>
      <c r="F235" s="10" t="n"/>
      <c r="G235" s="12" t="n"/>
      <c r="H235" s="13" t="n"/>
      <c r="I235" s="13" t="n"/>
      <c r="J235" s="13" t="n"/>
      <c r="K235" s="13" t="n"/>
      <c r="L235" s="13" t="n"/>
      <c r="M235" s="14">
        <f>IFERROR(IF(A235="","",IFERROR(VLOOKUP(A235,Raw_PriorMonth!A:E,5,FALSE),0)),0)</f>
        <v/>
      </c>
      <c r="N235" s="14">
        <f>IF(A235="","",IFERROR(E235,0)+IFERROR(M235,0))</f>
        <v/>
      </c>
      <c r="O235" s="15">
        <f>IF(A235="","",IF(N235&gt;=28,TRUE,FALSE))</f>
        <v/>
      </c>
      <c r="P235" s="15">
        <f>IF(A235="","",OR(G235=TRUE,O235=TRUE))</f>
        <v/>
      </c>
      <c r="Q235" s="16">
        <f>IF(A235="","",IFERROR(H235,0)+IFERROR(I235,0)+IFERROR(J235,0)+IFERROR(K235,0)+IFERROR(L235,0))</f>
        <v/>
      </c>
      <c r="R235" s="16">
        <f>IF(A235="","",IF(P235=TRUE,0,Q235))</f>
        <v/>
      </c>
      <c r="S235" s="16">
        <f>IF(A235="","",IF(P235=TRUE,0,IFERROR(H235,0)))</f>
        <v/>
      </c>
      <c r="T235" s="16">
        <f>IF(A235="","",IF(P235=TRUE,0,IFERROR(I235,0)))</f>
        <v/>
      </c>
      <c r="U235" s="16">
        <f>IF(A235="","",IF(P235=TRUE,0,IFERROR(J235,0)))</f>
        <v/>
      </c>
      <c r="V235" s="16">
        <f>IF(A235="","",IF(P235=TRUE,0,IFERROR(K235,0)))</f>
        <v/>
      </c>
      <c r="W235" s="16">
        <f>IF(A235="","",IF(P235=TRUE,0,IFERROR(L235,0)))</f>
        <v/>
      </c>
      <c r="X235" s="16">
        <f>IF(A235="","",IF(P235=TRUE,0,IFERROR(H235,0)+IFERROR(I235,0)+IFERROR(L235,0)))</f>
        <v/>
      </c>
      <c r="Y235" s="16">
        <f>IF(A235="",0,IF(G235=TRUE,IFERROR(H235,0)+IFERROR(I235,0)+IFERROR(J235,0)+IFERROR(K235,0)+IFERROR(L235,0),0))</f>
        <v/>
      </c>
      <c r="Z235" s="16">
        <f>IF(A235="",0,IF(AND(O235=TRUE,G235&lt;&gt;TRUE),IFERROR(H235,0)+IFERROR(I235,0)+IFERROR(J235,0)+IFERROR(K235,0)+IFERROR(L235,0),0))</f>
        <v/>
      </c>
    </row>
    <row r="236">
      <c r="A236" s="10" t="n"/>
      <c r="B236" s="10" t="n"/>
      <c r="C236" s="11" t="n"/>
      <c r="D236" s="11" t="n"/>
      <c r="E236" s="10" t="n"/>
      <c r="F236" s="10" t="n"/>
      <c r="G236" s="12" t="n"/>
      <c r="H236" s="13" t="n"/>
      <c r="I236" s="13" t="n"/>
      <c r="J236" s="13" t="n"/>
      <c r="K236" s="13" t="n"/>
      <c r="L236" s="13" t="n"/>
      <c r="M236" s="14">
        <f>IFERROR(IF(A236="","",IFERROR(VLOOKUP(A236,Raw_PriorMonth!A:E,5,FALSE),0)),0)</f>
        <v/>
      </c>
      <c r="N236" s="14">
        <f>IF(A236="","",IFERROR(E236,0)+IFERROR(M236,0))</f>
        <v/>
      </c>
      <c r="O236" s="15">
        <f>IF(A236="","",IF(N236&gt;=28,TRUE,FALSE))</f>
        <v/>
      </c>
      <c r="P236" s="15">
        <f>IF(A236="","",OR(G236=TRUE,O236=TRUE))</f>
        <v/>
      </c>
      <c r="Q236" s="16">
        <f>IF(A236="","",IFERROR(H236,0)+IFERROR(I236,0)+IFERROR(J236,0)+IFERROR(K236,0)+IFERROR(L236,0))</f>
        <v/>
      </c>
      <c r="R236" s="16">
        <f>IF(A236="","",IF(P236=TRUE,0,Q236))</f>
        <v/>
      </c>
      <c r="S236" s="16">
        <f>IF(A236="","",IF(P236=TRUE,0,IFERROR(H236,0)))</f>
        <v/>
      </c>
      <c r="T236" s="16">
        <f>IF(A236="","",IF(P236=TRUE,0,IFERROR(I236,0)))</f>
        <v/>
      </c>
      <c r="U236" s="16">
        <f>IF(A236="","",IF(P236=TRUE,0,IFERROR(J236,0)))</f>
        <v/>
      </c>
      <c r="V236" s="16">
        <f>IF(A236="","",IF(P236=TRUE,0,IFERROR(K236,0)))</f>
        <v/>
      </c>
      <c r="W236" s="16">
        <f>IF(A236="","",IF(P236=TRUE,0,IFERROR(L236,0)))</f>
        <v/>
      </c>
      <c r="X236" s="16">
        <f>IF(A236="","",IF(P236=TRUE,0,IFERROR(H236,0)+IFERROR(I236,0)+IFERROR(L236,0)))</f>
        <v/>
      </c>
      <c r="Y236" s="16">
        <f>IF(A236="",0,IF(G236=TRUE,IFERROR(H236,0)+IFERROR(I236,0)+IFERROR(J236,0)+IFERROR(K236,0)+IFERROR(L236,0),0))</f>
        <v/>
      </c>
      <c r="Z236" s="16">
        <f>IF(A236="",0,IF(AND(O236=TRUE,G236&lt;&gt;TRUE),IFERROR(H236,0)+IFERROR(I236,0)+IFERROR(J236,0)+IFERROR(K236,0)+IFERROR(L236,0),0))</f>
        <v/>
      </c>
    </row>
    <row r="237">
      <c r="A237" s="10" t="n"/>
      <c r="B237" s="10" t="n"/>
      <c r="C237" s="11" t="n"/>
      <c r="D237" s="11" t="n"/>
      <c r="E237" s="10" t="n"/>
      <c r="F237" s="10" t="n"/>
      <c r="G237" s="12" t="n"/>
      <c r="H237" s="13" t="n"/>
      <c r="I237" s="13" t="n"/>
      <c r="J237" s="13" t="n"/>
      <c r="K237" s="13" t="n"/>
      <c r="L237" s="13" t="n"/>
      <c r="M237" s="14">
        <f>IFERROR(IF(A237="","",IFERROR(VLOOKUP(A237,Raw_PriorMonth!A:E,5,FALSE),0)),0)</f>
        <v/>
      </c>
      <c r="N237" s="14">
        <f>IF(A237="","",IFERROR(E237,0)+IFERROR(M237,0))</f>
        <v/>
      </c>
      <c r="O237" s="15">
        <f>IF(A237="","",IF(N237&gt;=28,TRUE,FALSE))</f>
        <v/>
      </c>
      <c r="P237" s="15">
        <f>IF(A237="","",OR(G237=TRUE,O237=TRUE))</f>
        <v/>
      </c>
      <c r="Q237" s="16">
        <f>IF(A237="","",IFERROR(H237,0)+IFERROR(I237,0)+IFERROR(J237,0)+IFERROR(K237,0)+IFERROR(L237,0))</f>
        <v/>
      </c>
      <c r="R237" s="16">
        <f>IF(A237="","",IF(P237=TRUE,0,Q237))</f>
        <v/>
      </c>
      <c r="S237" s="16">
        <f>IF(A237="","",IF(P237=TRUE,0,IFERROR(H237,0)))</f>
        <v/>
      </c>
      <c r="T237" s="16">
        <f>IF(A237="","",IF(P237=TRUE,0,IFERROR(I237,0)))</f>
        <v/>
      </c>
      <c r="U237" s="16">
        <f>IF(A237="","",IF(P237=TRUE,0,IFERROR(J237,0)))</f>
        <v/>
      </c>
      <c r="V237" s="16">
        <f>IF(A237="","",IF(P237=TRUE,0,IFERROR(K237,0)))</f>
        <v/>
      </c>
      <c r="W237" s="16">
        <f>IF(A237="","",IF(P237=TRUE,0,IFERROR(L237,0)))</f>
        <v/>
      </c>
      <c r="X237" s="16">
        <f>IF(A237="","",IF(P237=TRUE,0,IFERROR(H237,0)+IFERROR(I237,0)+IFERROR(L237,0)))</f>
        <v/>
      </c>
      <c r="Y237" s="16">
        <f>IF(A237="",0,IF(G237=TRUE,IFERROR(H237,0)+IFERROR(I237,0)+IFERROR(J237,0)+IFERROR(K237,0)+IFERROR(L237,0),0))</f>
        <v/>
      </c>
      <c r="Z237" s="16">
        <f>IF(A237="",0,IF(AND(O237=TRUE,G237&lt;&gt;TRUE),IFERROR(H237,0)+IFERROR(I237,0)+IFERROR(J237,0)+IFERROR(K237,0)+IFERROR(L237,0),0))</f>
        <v/>
      </c>
    </row>
    <row r="238">
      <c r="A238" s="10" t="n"/>
      <c r="B238" s="10" t="n"/>
      <c r="C238" s="11" t="n"/>
      <c r="D238" s="11" t="n"/>
      <c r="E238" s="10" t="n"/>
      <c r="F238" s="10" t="n"/>
      <c r="G238" s="12" t="n"/>
      <c r="H238" s="13" t="n"/>
      <c r="I238" s="13" t="n"/>
      <c r="J238" s="13" t="n"/>
      <c r="K238" s="13" t="n"/>
      <c r="L238" s="13" t="n"/>
      <c r="M238" s="14">
        <f>IFERROR(IF(A238="","",IFERROR(VLOOKUP(A238,Raw_PriorMonth!A:E,5,FALSE),0)),0)</f>
        <v/>
      </c>
      <c r="N238" s="14">
        <f>IF(A238="","",IFERROR(E238,0)+IFERROR(M238,0))</f>
        <v/>
      </c>
      <c r="O238" s="15">
        <f>IF(A238="","",IF(N238&gt;=28,TRUE,FALSE))</f>
        <v/>
      </c>
      <c r="P238" s="15">
        <f>IF(A238="","",OR(G238=TRUE,O238=TRUE))</f>
        <v/>
      </c>
      <c r="Q238" s="16">
        <f>IF(A238="","",IFERROR(H238,0)+IFERROR(I238,0)+IFERROR(J238,0)+IFERROR(K238,0)+IFERROR(L238,0))</f>
        <v/>
      </c>
      <c r="R238" s="16">
        <f>IF(A238="","",IF(P238=TRUE,0,Q238))</f>
        <v/>
      </c>
      <c r="S238" s="16">
        <f>IF(A238="","",IF(P238=TRUE,0,IFERROR(H238,0)))</f>
        <v/>
      </c>
      <c r="T238" s="16">
        <f>IF(A238="","",IF(P238=TRUE,0,IFERROR(I238,0)))</f>
        <v/>
      </c>
      <c r="U238" s="16">
        <f>IF(A238="","",IF(P238=TRUE,0,IFERROR(J238,0)))</f>
        <v/>
      </c>
      <c r="V238" s="16">
        <f>IF(A238="","",IF(P238=TRUE,0,IFERROR(K238,0)))</f>
        <v/>
      </c>
      <c r="W238" s="16">
        <f>IF(A238="","",IF(P238=TRUE,0,IFERROR(L238,0)))</f>
        <v/>
      </c>
      <c r="X238" s="16">
        <f>IF(A238="","",IF(P238=TRUE,0,IFERROR(H238,0)+IFERROR(I238,0)+IFERROR(L238,0)))</f>
        <v/>
      </c>
      <c r="Y238" s="16">
        <f>IF(A238="",0,IF(G238=TRUE,IFERROR(H238,0)+IFERROR(I238,0)+IFERROR(J238,0)+IFERROR(K238,0)+IFERROR(L238,0),0))</f>
        <v/>
      </c>
      <c r="Z238" s="16">
        <f>IF(A238="",0,IF(AND(O238=TRUE,G238&lt;&gt;TRUE),IFERROR(H238,0)+IFERROR(I238,0)+IFERROR(J238,0)+IFERROR(K238,0)+IFERROR(L238,0),0))</f>
        <v/>
      </c>
    </row>
    <row r="239">
      <c r="A239" s="10" t="n"/>
      <c r="B239" s="10" t="n"/>
      <c r="C239" s="11" t="n"/>
      <c r="D239" s="11" t="n"/>
      <c r="E239" s="10" t="n"/>
      <c r="F239" s="10" t="n"/>
      <c r="G239" s="12" t="n"/>
      <c r="H239" s="13" t="n"/>
      <c r="I239" s="13" t="n"/>
      <c r="J239" s="13" t="n"/>
      <c r="K239" s="13" t="n"/>
      <c r="L239" s="13" t="n"/>
      <c r="M239" s="14">
        <f>IFERROR(IF(A239="","",IFERROR(VLOOKUP(A239,Raw_PriorMonth!A:E,5,FALSE),0)),0)</f>
        <v/>
      </c>
      <c r="N239" s="14">
        <f>IF(A239="","",IFERROR(E239,0)+IFERROR(M239,0))</f>
        <v/>
      </c>
      <c r="O239" s="15">
        <f>IF(A239="","",IF(N239&gt;=28,TRUE,FALSE))</f>
        <v/>
      </c>
      <c r="P239" s="15">
        <f>IF(A239="","",OR(G239=TRUE,O239=TRUE))</f>
        <v/>
      </c>
      <c r="Q239" s="16">
        <f>IF(A239="","",IFERROR(H239,0)+IFERROR(I239,0)+IFERROR(J239,0)+IFERROR(K239,0)+IFERROR(L239,0))</f>
        <v/>
      </c>
      <c r="R239" s="16">
        <f>IF(A239="","",IF(P239=TRUE,0,Q239))</f>
        <v/>
      </c>
      <c r="S239" s="16">
        <f>IF(A239="","",IF(P239=TRUE,0,IFERROR(H239,0)))</f>
        <v/>
      </c>
      <c r="T239" s="16">
        <f>IF(A239="","",IF(P239=TRUE,0,IFERROR(I239,0)))</f>
        <v/>
      </c>
      <c r="U239" s="16">
        <f>IF(A239="","",IF(P239=TRUE,0,IFERROR(J239,0)))</f>
        <v/>
      </c>
      <c r="V239" s="16">
        <f>IF(A239="","",IF(P239=TRUE,0,IFERROR(K239,0)))</f>
        <v/>
      </c>
      <c r="W239" s="16">
        <f>IF(A239="","",IF(P239=TRUE,0,IFERROR(L239,0)))</f>
        <v/>
      </c>
      <c r="X239" s="16">
        <f>IF(A239="","",IF(P239=TRUE,0,IFERROR(H239,0)+IFERROR(I239,0)+IFERROR(L239,0)))</f>
        <v/>
      </c>
      <c r="Y239" s="16">
        <f>IF(A239="",0,IF(G239=TRUE,IFERROR(H239,0)+IFERROR(I239,0)+IFERROR(J239,0)+IFERROR(K239,0)+IFERROR(L239,0),0))</f>
        <v/>
      </c>
      <c r="Z239" s="16">
        <f>IF(A239="",0,IF(AND(O239=TRUE,G239&lt;&gt;TRUE),IFERROR(H239,0)+IFERROR(I239,0)+IFERROR(J239,0)+IFERROR(K239,0)+IFERROR(L239,0),0))</f>
        <v/>
      </c>
    </row>
    <row r="240">
      <c r="A240" s="10" t="n"/>
      <c r="B240" s="10" t="n"/>
      <c r="C240" s="11" t="n"/>
      <c r="D240" s="11" t="n"/>
      <c r="E240" s="10" t="n"/>
      <c r="F240" s="10" t="n"/>
      <c r="G240" s="12" t="n"/>
      <c r="H240" s="13" t="n"/>
      <c r="I240" s="13" t="n"/>
      <c r="J240" s="13" t="n"/>
      <c r="K240" s="13" t="n"/>
      <c r="L240" s="13" t="n"/>
      <c r="M240" s="14">
        <f>IFERROR(IF(A240="","",IFERROR(VLOOKUP(A240,Raw_PriorMonth!A:E,5,FALSE),0)),0)</f>
        <v/>
      </c>
      <c r="N240" s="14">
        <f>IF(A240="","",IFERROR(E240,0)+IFERROR(M240,0))</f>
        <v/>
      </c>
      <c r="O240" s="15">
        <f>IF(A240="","",IF(N240&gt;=28,TRUE,FALSE))</f>
        <v/>
      </c>
      <c r="P240" s="15">
        <f>IF(A240="","",OR(G240=TRUE,O240=TRUE))</f>
        <v/>
      </c>
      <c r="Q240" s="16">
        <f>IF(A240="","",IFERROR(H240,0)+IFERROR(I240,0)+IFERROR(J240,0)+IFERROR(K240,0)+IFERROR(L240,0))</f>
        <v/>
      </c>
      <c r="R240" s="16">
        <f>IF(A240="","",IF(P240=TRUE,0,Q240))</f>
        <v/>
      </c>
      <c r="S240" s="16">
        <f>IF(A240="","",IF(P240=TRUE,0,IFERROR(H240,0)))</f>
        <v/>
      </c>
      <c r="T240" s="16">
        <f>IF(A240="","",IF(P240=TRUE,0,IFERROR(I240,0)))</f>
        <v/>
      </c>
      <c r="U240" s="16">
        <f>IF(A240="","",IF(P240=TRUE,0,IFERROR(J240,0)))</f>
        <v/>
      </c>
      <c r="V240" s="16">
        <f>IF(A240="","",IF(P240=TRUE,0,IFERROR(K240,0)))</f>
        <v/>
      </c>
      <c r="W240" s="16">
        <f>IF(A240="","",IF(P240=TRUE,0,IFERROR(L240,0)))</f>
        <v/>
      </c>
      <c r="X240" s="16">
        <f>IF(A240="","",IF(P240=TRUE,0,IFERROR(H240,0)+IFERROR(I240,0)+IFERROR(L240,0)))</f>
        <v/>
      </c>
      <c r="Y240" s="16">
        <f>IF(A240="",0,IF(G240=TRUE,IFERROR(H240,0)+IFERROR(I240,0)+IFERROR(J240,0)+IFERROR(K240,0)+IFERROR(L240,0),0))</f>
        <v/>
      </c>
      <c r="Z240" s="16">
        <f>IF(A240="",0,IF(AND(O240=TRUE,G240&lt;&gt;TRUE),IFERROR(H240,0)+IFERROR(I240,0)+IFERROR(J240,0)+IFERROR(K240,0)+IFERROR(L240,0),0))</f>
        <v/>
      </c>
    </row>
    <row r="241">
      <c r="A241" s="10" t="n"/>
      <c r="B241" s="10" t="n"/>
      <c r="C241" s="11" t="n"/>
      <c r="D241" s="11" t="n"/>
      <c r="E241" s="10" t="n"/>
      <c r="F241" s="10" t="n"/>
      <c r="G241" s="12" t="n"/>
      <c r="H241" s="13" t="n"/>
      <c r="I241" s="13" t="n"/>
      <c r="J241" s="13" t="n"/>
      <c r="K241" s="13" t="n"/>
      <c r="L241" s="13" t="n"/>
      <c r="M241" s="14">
        <f>IFERROR(IF(A241="","",IFERROR(VLOOKUP(A241,Raw_PriorMonth!A:E,5,FALSE),0)),0)</f>
        <v/>
      </c>
      <c r="N241" s="14">
        <f>IF(A241="","",IFERROR(E241,0)+IFERROR(M241,0))</f>
        <v/>
      </c>
      <c r="O241" s="15">
        <f>IF(A241="","",IF(N241&gt;=28,TRUE,FALSE))</f>
        <v/>
      </c>
      <c r="P241" s="15">
        <f>IF(A241="","",OR(G241=TRUE,O241=TRUE))</f>
        <v/>
      </c>
      <c r="Q241" s="16">
        <f>IF(A241="","",IFERROR(H241,0)+IFERROR(I241,0)+IFERROR(J241,0)+IFERROR(K241,0)+IFERROR(L241,0))</f>
        <v/>
      </c>
      <c r="R241" s="16">
        <f>IF(A241="","",IF(P241=TRUE,0,Q241))</f>
        <v/>
      </c>
      <c r="S241" s="16">
        <f>IF(A241="","",IF(P241=TRUE,0,IFERROR(H241,0)))</f>
        <v/>
      </c>
      <c r="T241" s="16">
        <f>IF(A241="","",IF(P241=TRUE,0,IFERROR(I241,0)))</f>
        <v/>
      </c>
      <c r="U241" s="16">
        <f>IF(A241="","",IF(P241=TRUE,0,IFERROR(J241,0)))</f>
        <v/>
      </c>
      <c r="V241" s="16">
        <f>IF(A241="","",IF(P241=TRUE,0,IFERROR(K241,0)))</f>
        <v/>
      </c>
      <c r="W241" s="16">
        <f>IF(A241="","",IF(P241=TRUE,0,IFERROR(L241,0)))</f>
        <v/>
      </c>
      <c r="X241" s="16">
        <f>IF(A241="","",IF(P241=TRUE,0,IFERROR(H241,0)+IFERROR(I241,0)+IFERROR(L241,0)))</f>
        <v/>
      </c>
      <c r="Y241" s="16">
        <f>IF(A241="",0,IF(G241=TRUE,IFERROR(H241,0)+IFERROR(I241,0)+IFERROR(J241,0)+IFERROR(K241,0)+IFERROR(L241,0),0))</f>
        <v/>
      </c>
      <c r="Z241" s="16">
        <f>IF(A241="",0,IF(AND(O241=TRUE,G241&lt;&gt;TRUE),IFERROR(H241,0)+IFERROR(I241,0)+IFERROR(J241,0)+IFERROR(K241,0)+IFERROR(L241,0),0))</f>
        <v/>
      </c>
    </row>
    <row r="242">
      <c r="A242" s="10" t="n"/>
      <c r="B242" s="10" t="n"/>
      <c r="C242" s="11" t="n"/>
      <c r="D242" s="11" t="n"/>
      <c r="E242" s="10" t="n"/>
      <c r="F242" s="10" t="n"/>
      <c r="G242" s="12" t="n"/>
      <c r="H242" s="13" t="n"/>
      <c r="I242" s="13" t="n"/>
      <c r="J242" s="13" t="n"/>
      <c r="K242" s="13" t="n"/>
      <c r="L242" s="13" t="n"/>
      <c r="M242" s="14">
        <f>IFERROR(IF(A242="","",IFERROR(VLOOKUP(A242,Raw_PriorMonth!A:E,5,FALSE),0)),0)</f>
        <v/>
      </c>
      <c r="N242" s="14">
        <f>IF(A242="","",IFERROR(E242,0)+IFERROR(M242,0))</f>
        <v/>
      </c>
      <c r="O242" s="15">
        <f>IF(A242="","",IF(N242&gt;=28,TRUE,FALSE))</f>
        <v/>
      </c>
      <c r="P242" s="15">
        <f>IF(A242="","",OR(G242=TRUE,O242=TRUE))</f>
        <v/>
      </c>
      <c r="Q242" s="16">
        <f>IF(A242="","",IFERROR(H242,0)+IFERROR(I242,0)+IFERROR(J242,0)+IFERROR(K242,0)+IFERROR(L242,0))</f>
        <v/>
      </c>
      <c r="R242" s="16">
        <f>IF(A242="","",IF(P242=TRUE,0,Q242))</f>
        <v/>
      </c>
      <c r="S242" s="16">
        <f>IF(A242="","",IF(P242=TRUE,0,IFERROR(H242,0)))</f>
        <v/>
      </c>
      <c r="T242" s="16">
        <f>IF(A242="","",IF(P242=TRUE,0,IFERROR(I242,0)))</f>
        <v/>
      </c>
      <c r="U242" s="16">
        <f>IF(A242="","",IF(P242=TRUE,0,IFERROR(J242,0)))</f>
        <v/>
      </c>
      <c r="V242" s="16">
        <f>IF(A242="","",IF(P242=TRUE,0,IFERROR(K242,0)))</f>
        <v/>
      </c>
      <c r="W242" s="16">
        <f>IF(A242="","",IF(P242=TRUE,0,IFERROR(L242,0)))</f>
        <v/>
      </c>
      <c r="X242" s="16">
        <f>IF(A242="","",IF(P242=TRUE,0,IFERROR(H242,0)+IFERROR(I242,0)+IFERROR(L242,0)))</f>
        <v/>
      </c>
      <c r="Y242" s="16">
        <f>IF(A242="",0,IF(G242=TRUE,IFERROR(H242,0)+IFERROR(I242,0)+IFERROR(J242,0)+IFERROR(K242,0)+IFERROR(L242,0),0))</f>
        <v/>
      </c>
      <c r="Z242" s="16">
        <f>IF(A242="",0,IF(AND(O242=TRUE,G242&lt;&gt;TRUE),IFERROR(H242,0)+IFERROR(I242,0)+IFERROR(J242,0)+IFERROR(K242,0)+IFERROR(L242,0),0))</f>
        <v/>
      </c>
    </row>
    <row r="243">
      <c r="A243" s="10" t="n"/>
      <c r="B243" s="10" t="n"/>
      <c r="C243" s="11" t="n"/>
      <c r="D243" s="11" t="n"/>
      <c r="E243" s="10" t="n"/>
      <c r="F243" s="10" t="n"/>
      <c r="G243" s="12" t="n"/>
      <c r="H243" s="13" t="n"/>
      <c r="I243" s="13" t="n"/>
      <c r="J243" s="13" t="n"/>
      <c r="K243" s="13" t="n"/>
      <c r="L243" s="13" t="n"/>
      <c r="M243" s="14">
        <f>IFERROR(IF(A243="","",IFERROR(VLOOKUP(A243,Raw_PriorMonth!A:E,5,FALSE),0)),0)</f>
        <v/>
      </c>
      <c r="N243" s="14">
        <f>IF(A243="","",IFERROR(E243,0)+IFERROR(M243,0))</f>
        <v/>
      </c>
      <c r="O243" s="15">
        <f>IF(A243="","",IF(N243&gt;=28,TRUE,FALSE))</f>
        <v/>
      </c>
      <c r="P243" s="15">
        <f>IF(A243="","",OR(G243=TRUE,O243=TRUE))</f>
        <v/>
      </c>
      <c r="Q243" s="16">
        <f>IF(A243="","",IFERROR(H243,0)+IFERROR(I243,0)+IFERROR(J243,0)+IFERROR(K243,0)+IFERROR(L243,0))</f>
        <v/>
      </c>
      <c r="R243" s="16">
        <f>IF(A243="","",IF(P243=TRUE,0,Q243))</f>
        <v/>
      </c>
      <c r="S243" s="16">
        <f>IF(A243="","",IF(P243=TRUE,0,IFERROR(H243,0)))</f>
        <v/>
      </c>
      <c r="T243" s="16">
        <f>IF(A243="","",IF(P243=TRUE,0,IFERROR(I243,0)))</f>
        <v/>
      </c>
      <c r="U243" s="16">
        <f>IF(A243="","",IF(P243=TRUE,0,IFERROR(J243,0)))</f>
        <v/>
      </c>
      <c r="V243" s="16">
        <f>IF(A243="","",IF(P243=TRUE,0,IFERROR(K243,0)))</f>
        <v/>
      </c>
      <c r="W243" s="16">
        <f>IF(A243="","",IF(P243=TRUE,0,IFERROR(L243,0)))</f>
        <v/>
      </c>
      <c r="X243" s="16">
        <f>IF(A243="","",IF(P243=TRUE,0,IFERROR(H243,0)+IFERROR(I243,0)+IFERROR(L243,0)))</f>
        <v/>
      </c>
      <c r="Y243" s="16">
        <f>IF(A243="",0,IF(G243=TRUE,IFERROR(H243,0)+IFERROR(I243,0)+IFERROR(J243,0)+IFERROR(K243,0)+IFERROR(L243,0),0))</f>
        <v/>
      </c>
      <c r="Z243" s="16">
        <f>IF(A243="",0,IF(AND(O243=TRUE,G243&lt;&gt;TRUE),IFERROR(H243,0)+IFERROR(I243,0)+IFERROR(J243,0)+IFERROR(K243,0)+IFERROR(L243,0),0))</f>
        <v/>
      </c>
    </row>
    <row r="244">
      <c r="A244" s="10" t="n"/>
      <c r="B244" s="10" t="n"/>
      <c r="C244" s="11" t="n"/>
      <c r="D244" s="11" t="n"/>
      <c r="E244" s="10" t="n"/>
      <c r="F244" s="10" t="n"/>
      <c r="G244" s="12" t="n"/>
      <c r="H244" s="13" t="n"/>
      <c r="I244" s="13" t="n"/>
      <c r="J244" s="13" t="n"/>
      <c r="K244" s="13" t="n"/>
      <c r="L244" s="13" t="n"/>
      <c r="M244" s="14">
        <f>IFERROR(IF(A244="","",IFERROR(VLOOKUP(A244,Raw_PriorMonth!A:E,5,FALSE),0)),0)</f>
        <v/>
      </c>
      <c r="N244" s="14">
        <f>IF(A244="","",IFERROR(E244,0)+IFERROR(M244,0))</f>
        <v/>
      </c>
      <c r="O244" s="15">
        <f>IF(A244="","",IF(N244&gt;=28,TRUE,FALSE))</f>
        <v/>
      </c>
      <c r="P244" s="15">
        <f>IF(A244="","",OR(G244=TRUE,O244=TRUE))</f>
        <v/>
      </c>
      <c r="Q244" s="16">
        <f>IF(A244="","",IFERROR(H244,0)+IFERROR(I244,0)+IFERROR(J244,0)+IFERROR(K244,0)+IFERROR(L244,0))</f>
        <v/>
      </c>
      <c r="R244" s="16">
        <f>IF(A244="","",IF(P244=TRUE,0,Q244))</f>
        <v/>
      </c>
      <c r="S244" s="16">
        <f>IF(A244="","",IF(P244=TRUE,0,IFERROR(H244,0)))</f>
        <v/>
      </c>
      <c r="T244" s="16">
        <f>IF(A244="","",IF(P244=TRUE,0,IFERROR(I244,0)))</f>
        <v/>
      </c>
      <c r="U244" s="16">
        <f>IF(A244="","",IF(P244=TRUE,0,IFERROR(J244,0)))</f>
        <v/>
      </c>
      <c r="V244" s="16">
        <f>IF(A244="","",IF(P244=TRUE,0,IFERROR(K244,0)))</f>
        <v/>
      </c>
      <c r="W244" s="16">
        <f>IF(A244="","",IF(P244=TRUE,0,IFERROR(L244,0)))</f>
        <v/>
      </c>
      <c r="X244" s="16">
        <f>IF(A244="","",IF(P244=TRUE,0,IFERROR(H244,0)+IFERROR(I244,0)+IFERROR(L244,0)))</f>
        <v/>
      </c>
      <c r="Y244" s="16">
        <f>IF(A244="",0,IF(G244=TRUE,IFERROR(H244,0)+IFERROR(I244,0)+IFERROR(J244,0)+IFERROR(K244,0)+IFERROR(L244,0),0))</f>
        <v/>
      </c>
      <c r="Z244" s="16">
        <f>IF(A244="",0,IF(AND(O244=TRUE,G244&lt;&gt;TRUE),IFERROR(H244,0)+IFERROR(I244,0)+IFERROR(J244,0)+IFERROR(K244,0)+IFERROR(L244,0),0))</f>
        <v/>
      </c>
    </row>
    <row r="245">
      <c r="A245" s="10" t="n"/>
      <c r="B245" s="10" t="n"/>
      <c r="C245" s="11" t="n"/>
      <c r="D245" s="11" t="n"/>
      <c r="E245" s="10" t="n"/>
      <c r="F245" s="10" t="n"/>
      <c r="G245" s="12" t="n"/>
      <c r="H245" s="13" t="n"/>
      <c r="I245" s="13" t="n"/>
      <c r="J245" s="13" t="n"/>
      <c r="K245" s="13" t="n"/>
      <c r="L245" s="13" t="n"/>
      <c r="M245" s="14">
        <f>IFERROR(IF(A245="","",IFERROR(VLOOKUP(A245,Raw_PriorMonth!A:E,5,FALSE),0)),0)</f>
        <v/>
      </c>
      <c r="N245" s="14">
        <f>IF(A245="","",IFERROR(E245,0)+IFERROR(M245,0))</f>
        <v/>
      </c>
      <c r="O245" s="15">
        <f>IF(A245="","",IF(N245&gt;=28,TRUE,FALSE))</f>
        <v/>
      </c>
      <c r="P245" s="15">
        <f>IF(A245="","",OR(G245=TRUE,O245=TRUE))</f>
        <v/>
      </c>
      <c r="Q245" s="16">
        <f>IF(A245="","",IFERROR(H245,0)+IFERROR(I245,0)+IFERROR(J245,0)+IFERROR(K245,0)+IFERROR(L245,0))</f>
        <v/>
      </c>
      <c r="R245" s="16">
        <f>IF(A245="","",IF(P245=TRUE,0,Q245))</f>
        <v/>
      </c>
      <c r="S245" s="16">
        <f>IF(A245="","",IF(P245=TRUE,0,IFERROR(H245,0)))</f>
        <v/>
      </c>
      <c r="T245" s="16">
        <f>IF(A245="","",IF(P245=TRUE,0,IFERROR(I245,0)))</f>
        <v/>
      </c>
      <c r="U245" s="16">
        <f>IF(A245="","",IF(P245=TRUE,0,IFERROR(J245,0)))</f>
        <v/>
      </c>
      <c r="V245" s="16">
        <f>IF(A245="","",IF(P245=TRUE,0,IFERROR(K245,0)))</f>
        <v/>
      </c>
      <c r="W245" s="16">
        <f>IF(A245="","",IF(P245=TRUE,0,IFERROR(L245,0)))</f>
        <v/>
      </c>
      <c r="X245" s="16">
        <f>IF(A245="","",IF(P245=TRUE,0,IFERROR(H245,0)+IFERROR(I245,0)+IFERROR(L245,0)))</f>
        <v/>
      </c>
      <c r="Y245" s="16">
        <f>IF(A245="",0,IF(G245=TRUE,IFERROR(H245,0)+IFERROR(I245,0)+IFERROR(J245,0)+IFERROR(K245,0)+IFERROR(L245,0),0))</f>
        <v/>
      </c>
      <c r="Z245" s="16">
        <f>IF(A245="",0,IF(AND(O245=TRUE,G245&lt;&gt;TRUE),IFERROR(H245,0)+IFERROR(I245,0)+IFERROR(J245,0)+IFERROR(K245,0)+IFERROR(L245,0),0))</f>
        <v/>
      </c>
    </row>
    <row r="246">
      <c r="A246" s="10" t="n"/>
      <c r="B246" s="10" t="n"/>
      <c r="C246" s="11" t="n"/>
      <c r="D246" s="11" t="n"/>
      <c r="E246" s="10" t="n"/>
      <c r="F246" s="10" t="n"/>
      <c r="G246" s="12" t="n"/>
      <c r="H246" s="13" t="n"/>
      <c r="I246" s="13" t="n"/>
      <c r="J246" s="13" t="n"/>
      <c r="K246" s="13" t="n"/>
      <c r="L246" s="13" t="n"/>
      <c r="M246" s="14">
        <f>IFERROR(IF(A246="","",IFERROR(VLOOKUP(A246,Raw_PriorMonth!A:E,5,FALSE),0)),0)</f>
        <v/>
      </c>
      <c r="N246" s="14">
        <f>IF(A246="","",IFERROR(E246,0)+IFERROR(M246,0))</f>
        <v/>
      </c>
      <c r="O246" s="15">
        <f>IF(A246="","",IF(N246&gt;=28,TRUE,FALSE))</f>
        <v/>
      </c>
      <c r="P246" s="15">
        <f>IF(A246="","",OR(G246=TRUE,O246=TRUE))</f>
        <v/>
      </c>
      <c r="Q246" s="16">
        <f>IF(A246="","",IFERROR(H246,0)+IFERROR(I246,0)+IFERROR(J246,0)+IFERROR(K246,0)+IFERROR(L246,0))</f>
        <v/>
      </c>
      <c r="R246" s="16">
        <f>IF(A246="","",IF(P246=TRUE,0,Q246))</f>
        <v/>
      </c>
      <c r="S246" s="16">
        <f>IF(A246="","",IF(P246=TRUE,0,IFERROR(H246,0)))</f>
        <v/>
      </c>
      <c r="T246" s="16">
        <f>IF(A246="","",IF(P246=TRUE,0,IFERROR(I246,0)))</f>
        <v/>
      </c>
      <c r="U246" s="16">
        <f>IF(A246="","",IF(P246=TRUE,0,IFERROR(J246,0)))</f>
        <v/>
      </c>
      <c r="V246" s="16">
        <f>IF(A246="","",IF(P246=TRUE,0,IFERROR(K246,0)))</f>
        <v/>
      </c>
      <c r="W246" s="16">
        <f>IF(A246="","",IF(P246=TRUE,0,IFERROR(L246,0)))</f>
        <v/>
      </c>
      <c r="X246" s="16">
        <f>IF(A246="","",IF(P246=TRUE,0,IFERROR(H246,0)+IFERROR(I246,0)+IFERROR(L246,0)))</f>
        <v/>
      </c>
      <c r="Y246" s="16">
        <f>IF(A246="",0,IF(G246=TRUE,IFERROR(H246,0)+IFERROR(I246,0)+IFERROR(J246,0)+IFERROR(K246,0)+IFERROR(L246,0),0))</f>
        <v/>
      </c>
      <c r="Z246" s="16">
        <f>IF(A246="",0,IF(AND(O246=TRUE,G246&lt;&gt;TRUE),IFERROR(H246,0)+IFERROR(I246,0)+IFERROR(J246,0)+IFERROR(K246,0)+IFERROR(L246,0),0))</f>
        <v/>
      </c>
    </row>
    <row r="247">
      <c r="A247" s="10" t="n"/>
      <c r="B247" s="10" t="n"/>
      <c r="C247" s="11" t="n"/>
      <c r="D247" s="11" t="n"/>
      <c r="E247" s="10" t="n"/>
      <c r="F247" s="10" t="n"/>
      <c r="G247" s="12" t="n"/>
      <c r="H247" s="13" t="n"/>
      <c r="I247" s="13" t="n"/>
      <c r="J247" s="13" t="n"/>
      <c r="K247" s="13" t="n"/>
      <c r="L247" s="13" t="n"/>
      <c r="M247" s="14">
        <f>IFERROR(IF(A247="","",IFERROR(VLOOKUP(A247,Raw_PriorMonth!A:E,5,FALSE),0)),0)</f>
        <v/>
      </c>
      <c r="N247" s="14">
        <f>IF(A247="","",IFERROR(E247,0)+IFERROR(M247,0))</f>
        <v/>
      </c>
      <c r="O247" s="15">
        <f>IF(A247="","",IF(N247&gt;=28,TRUE,FALSE))</f>
        <v/>
      </c>
      <c r="P247" s="15">
        <f>IF(A247="","",OR(G247=TRUE,O247=TRUE))</f>
        <v/>
      </c>
      <c r="Q247" s="16">
        <f>IF(A247="","",IFERROR(H247,0)+IFERROR(I247,0)+IFERROR(J247,0)+IFERROR(K247,0)+IFERROR(L247,0))</f>
        <v/>
      </c>
      <c r="R247" s="16">
        <f>IF(A247="","",IF(P247=TRUE,0,Q247))</f>
        <v/>
      </c>
      <c r="S247" s="16">
        <f>IF(A247="","",IF(P247=TRUE,0,IFERROR(H247,0)))</f>
        <v/>
      </c>
      <c r="T247" s="16">
        <f>IF(A247="","",IF(P247=TRUE,0,IFERROR(I247,0)))</f>
        <v/>
      </c>
      <c r="U247" s="16">
        <f>IF(A247="","",IF(P247=TRUE,0,IFERROR(J247,0)))</f>
        <v/>
      </c>
      <c r="V247" s="16">
        <f>IF(A247="","",IF(P247=TRUE,0,IFERROR(K247,0)))</f>
        <v/>
      </c>
      <c r="W247" s="16">
        <f>IF(A247="","",IF(P247=TRUE,0,IFERROR(L247,0)))</f>
        <v/>
      </c>
      <c r="X247" s="16">
        <f>IF(A247="","",IF(P247=TRUE,0,IFERROR(H247,0)+IFERROR(I247,0)+IFERROR(L247,0)))</f>
        <v/>
      </c>
      <c r="Y247" s="16">
        <f>IF(A247="",0,IF(G247=TRUE,IFERROR(H247,0)+IFERROR(I247,0)+IFERROR(J247,0)+IFERROR(K247,0)+IFERROR(L247,0),0))</f>
        <v/>
      </c>
      <c r="Z247" s="16">
        <f>IF(A247="",0,IF(AND(O247=TRUE,G247&lt;&gt;TRUE),IFERROR(H247,0)+IFERROR(I247,0)+IFERROR(J247,0)+IFERROR(K247,0)+IFERROR(L247,0),0))</f>
        <v/>
      </c>
    </row>
    <row r="248">
      <c r="A248" s="10" t="n"/>
      <c r="B248" s="10" t="n"/>
      <c r="C248" s="11" t="n"/>
      <c r="D248" s="11" t="n"/>
      <c r="E248" s="10" t="n"/>
      <c r="F248" s="10" t="n"/>
      <c r="G248" s="12" t="n"/>
      <c r="H248" s="13" t="n"/>
      <c r="I248" s="13" t="n"/>
      <c r="J248" s="13" t="n"/>
      <c r="K248" s="13" t="n"/>
      <c r="L248" s="13" t="n"/>
      <c r="M248" s="14">
        <f>IFERROR(IF(A248="","",IFERROR(VLOOKUP(A248,Raw_PriorMonth!A:E,5,FALSE),0)),0)</f>
        <v/>
      </c>
      <c r="N248" s="14">
        <f>IF(A248="","",IFERROR(E248,0)+IFERROR(M248,0))</f>
        <v/>
      </c>
      <c r="O248" s="15">
        <f>IF(A248="","",IF(N248&gt;=28,TRUE,FALSE))</f>
        <v/>
      </c>
      <c r="P248" s="15">
        <f>IF(A248="","",OR(G248=TRUE,O248=TRUE))</f>
        <v/>
      </c>
      <c r="Q248" s="16">
        <f>IF(A248="","",IFERROR(H248,0)+IFERROR(I248,0)+IFERROR(J248,0)+IFERROR(K248,0)+IFERROR(L248,0))</f>
        <v/>
      </c>
      <c r="R248" s="16">
        <f>IF(A248="","",IF(P248=TRUE,0,Q248))</f>
        <v/>
      </c>
      <c r="S248" s="16">
        <f>IF(A248="","",IF(P248=TRUE,0,IFERROR(H248,0)))</f>
        <v/>
      </c>
      <c r="T248" s="16">
        <f>IF(A248="","",IF(P248=TRUE,0,IFERROR(I248,0)))</f>
        <v/>
      </c>
      <c r="U248" s="16">
        <f>IF(A248="","",IF(P248=TRUE,0,IFERROR(J248,0)))</f>
        <v/>
      </c>
      <c r="V248" s="16">
        <f>IF(A248="","",IF(P248=TRUE,0,IFERROR(K248,0)))</f>
        <v/>
      </c>
      <c r="W248" s="16">
        <f>IF(A248="","",IF(P248=TRUE,0,IFERROR(L248,0)))</f>
        <v/>
      </c>
      <c r="X248" s="16">
        <f>IF(A248="","",IF(P248=TRUE,0,IFERROR(H248,0)+IFERROR(I248,0)+IFERROR(L248,0)))</f>
        <v/>
      </c>
      <c r="Y248" s="16">
        <f>IF(A248="",0,IF(G248=TRUE,IFERROR(H248,0)+IFERROR(I248,0)+IFERROR(J248,0)+IFERROR(K248,0)+IFERROR(L248,0),0))</f>
        <v/>
      </c>
      <c r="Z248" s="16">
        <f>IF(A248="",0,IF(AND(O248=TRUE,G248&lt;&gt;TRUE),IFERROR(H248,0)+IFERROR(I248,0)+IFERROR(J248,0)+IFERROR(K248,0)+IFERROR(L248,0),0))</f>
        <v/>
      </c>
    </row>
    <row r="249">
      <c r="A249" s="10" t="n"/>
      <c r="B249" s="10" t="n"/>
      <c r="C249" s="11" t="n"/>
      <c r="D249" s="11" t="n"/>
      <c r="E249" s="10" t="n"/>
      <c r="F249" s="10" t="n"/>
      <c r="G249" s="12" t="n"/>
      <c r="H249" s="13" t="n"/>
      <c r="I249" s="13" t="n"/>
      <c r="J249" s="13" t="n"/>
      <c r="K249" s="13" t="n"/>
      <c r="L249" s="13" t="n"/>
      <c r="M249" s="14">
        <f>IFERROR(IF(A249="","",IFERROR(VLOOKUP(A249,Raw_PriorMonth!A:E,5,FALSE),0)),0)</f>
        <v/>
      </c>
      <c r="N249" s="14">
        <f>IF(A249="","",IFERROR(E249,0)+IFERROR(M249,0))</f>
        <v/>
      </c>
      <c r="O249" s="15">
        <f>IF(A249="","",IF(N249&gt;=28,TRUE,FALSE))</f>
        <v/>
      </c>
      <c r="P249" s="15">
        <f>IF(A249="","",OR(G249=TRUE,O249=TRUE))</f>
        <v/>
      </c>
      <c r="Q249" s="16">
        <f>IF(A249="","",IFERROR(H249,0)+IFERROR(I249,0)+IFERROR(J249,0)+IFERROR(K249,0)+IFERROR(L249,0))</f>
        <v/>
      </c>
      <c r="R249" s="16">
        <f>IF(A249="","",IF(P249=TRUE,0,Q249))</f>
        <v/>
      </c>
      <c r="S249" s="16">
        <f>IF(A249="","",IF(P249=TRUE,0,IFERROR(H249,0)))</f>
        <v/>
      </c>
      <c r="T249" s="16">
        <f>IF(A249="","",IF(P249=TRUE,0,IFERROR(I249,0)))</f>
        <v/>
      </c>
      <c r="U249" s="16">
        <f>IF(A249="","",IF(P249=TRUE,0,IFERROR(J249,0)))</f>
        <v/>
      </c>
      <c r="V249" s="16">
        <f>IF(A249="","",IF(P249=TRUE,0,IFERROR(K249,0)))</f>
        <v/>
      </c>
      <c r="W249" s="16">
        <f>IF(A249="","",IF(P249=TRUE,0,IFERROR(L249,0)))</f>
        <v/>
      </c>
      <c r="X249" s="16">
        <f>IF(A249="","",IF(P249=TRUE,0,IFERROR(H249,0)+IFERROR(I249,0)+IFERROR(L249,0)))</f>
        <v/>
      </c>
      <c r="Y249" s="16">
        <f>IF(A249="",0,IF(G249=TRUE,IFERROR(H249,0)+IFERROR(I249,0)+IFERROR(J249,0)+IFERROR(K249,0)+IFERROR(L249,0),0))</f>
        <v/>
      </c>
      <c r="Z249" s="16">
        <f>IF(A249="",0,IF(AND(O249=TRUE,G249&lt;&gt;TRUE),IFERROR(H249,0)+IFERROR(I249,0)+IFERROR(J249,0)+IFERROR(K249,0)+IFERROR(L249,0),0))</f>
        <v/>
      </c>
    </row>
    <row r="250">
      <c r="A250" s="10" t="n"/>
      <c r="B250" s="10" t="n"/>
      <c r="C250" s="11" t="n"/>
      <c r="D250" s="11" t="n"/>
      <c r="E250" s="10" t="n"/>
      <c r="F250" s="10" t="n"/>
      <c r="G250" s="12" t="n"/>
      <c r="H250" s="13" t="n"/>
      <c r="I250" s="13" t="n"/>
      <c r="J250" s="13" t="n"/>
      <c r="K250" s="13" t="n"/>
      <c r="L250" s="13" t="n"/>
      <c r="M250" s="14">
        <f>IFERROR(IF(A250="","",IFERROR(VLOOKUP(A250,Raw_PriorMonth!A:E,5,FALSE),0)),0)</f>
        <v/>
      </c>
      <c r="N250" s="14">
        <f>IF(A250="","",IFERROR(E250,0)+IFERROR(M250,0))</f>
        <v/>
      </c>
      <c r="O250" s="15">
        <f>IF(A250="","",IF(N250&gt;=28,TRUE,FALSE))</f>
        <v/>
      </c>
      <c r="P250" s="15">
        <f>IF(A250="","",OR(G250=TRUE,O250=TRUE))</f>
        <v/>
      </c>
      <c r="Q250" s="16">
        <f>IF(A250="","",IFERROR(H250,0)+IFERROR(I250,0)+IFERROR(J250,0)+IFERROR(K250,0)+IFERROR(L250,0))</f>
        <v/>
      </c>
      <c r="R250" s="16">
        <f>IF(A250="","",IF(P250=TRUE,0,Q250))</f>
        <v/>
      </c>
      <c r="S250" s="16">
        <f>IF(A250="","",IF(P250=TRUE,0,IFERROR(H250,0)))</f>
        <v/>
      </c>
      <c r="T250" s="16">
        <f>IF(A250="","",IF(P250=TRUE,0,IFERROR(I250,0)))</f>
        <v/>
      </c>
      <c r="U250" s="16">
        <f>IF(A250="","",IF(P250=TRUE,0,IFERROR(J250,0)))</f>
        <v/>
      </c>
      <c r="V250" s="16">
        <f>IF(A250="","",IF(P250=TRUE,0,IFERROR(K250,0)))</f>
        <v/>
      </c>
      <c r="W250" s="16">
        <f>IF(A250="","",IF(P250=TRUE,0,IFERROR(L250,0)))</f>
        <v/>
      </c>
      <c r="X250" s="16">
        <f>IF(A250="","",IF(P250=TRUE,0,IFERROR(H250,0)+IFERROR(I250,0)+IFERROR(L250,0)))</f>
        <v/>
      </c>
      <c r="Y250" s="16">
        <f>IF(A250="",0,IF(G250=TRUE,IFERROR(H250,0)+IFERROR(I250,0)+IFERROR(J250,0)+IFERROR(K250,0)+IFERROR(L250,0),0))</f>
        <v/>
      </c>
      <c r="Z250" s="16">
        <f>IF(A250="",0,IF(AND(O250=TRUE,G250&lt;&gt;TRUE),IFERROR(H250,0)+IFERROR(I250,0)+IFERROR(J250,0)+IFERROR(K250,0)+IFERROR(L250,0),0))</f>
        <v/>
      </c>
    </row>
    <row r="251">
      <c r="A251" s="10" t="n"/>
      <c r="B251" s="10" t="n"/>
      <c r="C251" s="11" t="n"/>
      <c r="D251" s="11" t="n"/>
      <c r="E251" s="10" t="n"/>
      <c r="F251" s="10" t="n"/>
      <c r="G251" s="12" t="n"/>
      <c r="H251" s="13" t="n"/>
      <c r="I251" s="13" t="n"/>
      <c r="J251" s="13" t="n"/>
      <c r="K251" s="13" t="n"/>
      <c r="L251" s="13" t="n"/>
      <c r="M251" s="14">
        <f>IFERROR(IF(A251="","",IFERROR(VLOOKUP(A251,Raw_PriorMonth!A:E,5,FALSE),0)),0)</f>
        <v/>
      </c>
      <c r="N251" s="14">
        <f>IF(A251="","",IFERROR(E251,0)+IFERROR(M251,0))</f>
        <v/>
      </c>
      <c r="O251" s="15">
        <f>IF(A251="","",IF(N251&gt;=28,TRUE,FALSE))</f>
        <v/>
      </c>
      <c r="P251" s="15">
        <f>IF(A251="","",OR(G251=TRUE,O251=TRUE))</f>
        <v/>
      </c>
      <c r="Q251" s="16">
        <f>IF(A251="","",IFERROR(H251,0)+IFERROR(I251,0)+IFERROR(J251,0)+IFERROR(K251,0)+IFERROR(L251,0))</f>
        <v/>
      </c>
      <c r="R251" s="16">
        <f>IF(A251="","",IF(P251=TRUE,0,Q251))</f>
        <v/>
      </c>
      <c r="S251" s="16">
        <f>IF(A251="","",IF(P251=TRUE,0,IFERROR(H251,0)))</f>
        <v/>
      </c>
      <c r="T251" s="16">
        <f>IF(A251="","",IF(P251=TRUE,0,IFERROR(I251,0)))</f>
        <v/>
      </c>
      <c r="U251" s="16">
        <f>IF(A251="","",IF(P251=TRUE,0,IFERROR(J251,0)))</f>
        <v/>
      </c>
      <c r="V251" s="16">
        <f>IF(A251="","",IF(P251=TRUE,0,IFERROR(K251,0)))</f>
        <v/>
      </c>
      <c r="W251" s="16">
        <f>IF(A251="","",IF(P251=TRUE,0,IFERROR(L251,0)))</f>
        <v/>
      </c>
      <c r="X251" s="16">
        <f>IF(A251="","",IF(P251=TRUE,0,IFERROR(H251,0)+IFERROR(I251,0)+IFERROR(L251,0)))</f>
        <v/>
      </c>
      <c r="Y251" s="16">
        <f>IF(A251="",0,IF(G251=TRUE,IFERROR(H251,0)+IFERROR(I251,0)+IFERROR(J251,0)+IFERROR(K251,0)+IFERROR(L251,0),0))</f>
        <v/>
      </c>
      <c r="Z251" s="16">
        <f>IF(A251="",0,IF(AND(O251=TRUE,G251&lt;&gt;TRUE),IFERROR(H251,0)+IFERROR(I251,0)+IFERROR(J251,0)+IFERROR(K251,0)+IFERROR(L251,0),0))</f>
        <v/>
      </c>
    </row>
    <row r="252">
      <c r="A252" s="10" t="n"/>
      <c r="B252" s="10" t="n"/>
      <c r="C252" s="11" t="n"/>
      <c r="D252" s="11" t="n"/>
      <c r="E252" s="10" t="n"/>
      <c r="F252" s="10" t="n"/>
      <c r="G252" s="12" t="n"/>
      <c r="H252" s="13" t="n"/>
      <c r="I252" s="13" t="n"/>
      <c r="J252" s="13" t="n"/>
      <c r="K252" s="13" t="n"/>
      <c r="L252" s="13" t="n"/>
      <c r="M252" s="14">
        <f>IFERROR(IF(A252="","",IFERROR(VLOOKUP(A252,Raw_PriorMonth!A:E,5,FALSE),0)),0)</f>
        <v/>
      </c>
      <c r="N252" s="14">
        <f>IF(A252="","",IFERROR(E252,0)+IFERROR(M252,0))</f>
        <v/>
      </c>
      <c r="O252" s="15">
        <f>IF(A252="","",IF(N252&gt;=28,TRUE,FALSE))</f>
        <v/>
      </c>
      <c r="P252" s="15">
        <f>IF(A252="","",OR(G252=TRUE,O252=TRUE))</f>
        <v/>
      </c>
      <c r="Q252" s="16">
        <f>IF(A252="","",IFERROR(H252,0)+IFERROR(I252,0)+IFERROR(J252,0)+IFERROR(K252,0)+IFERROR(L252,0))</f>
        <v/>
      </c>
      <c r="R252" s="16">
        <f>IF(A252="","",IF(P252=TRUE,0,Q252))</f>
        <v/>
      </c>
      <c r="S252" s="16">
        <f>IF(A252="","",IF(P252=TRUE,0,IFERROR(H252,0)))</f>
        <v/>
      </c>
      <c r="T252" s="16">
        <f>IF(A252="","",IF(P252=TRUE,0,IFERROR(I252,0)))</f>
        <v/>
      </c>
      <c r="U252" s="16">
        <f>IF(A252="","",IF(P252=TRUE,0,IFERROR(J252,0)))</f>
        <v/>
      </c>
      <c r="V252" s="16">
        <f>IF(A252="","",IF(P252=TRUE,0,IFERROR(K252,0)))</f>
        <v/>
      </c>
      <c r="W252" s="16">
        <f>IF(A252="","",IF(P252=TRUE,0,IFERROR(L252,0)))</f>
        <v/>
      </c>
      <c r="X252" s="16">
        <f>IF(A252="","",IF(P252=TRUE,0,IFERROR(H252,0)+IFERROR(I252,0)+IFERROR(L252,0)))</f>
        <v/>
      </c>
      <c r="Y252" s="16">
        <f>IF(A252="",0,IF(G252=TRUE,IFERROR(H252,0)+IFERROR(I252,0)+IFERROR(J252,0)+IFERROR(K252,0)+IFERROR(L252,0),0))</f>
        <v/>
      </c>
      <c r="Z252" s="16">
        <f>IF(A252="",0,IF(AND(O252=TRUE,G252&lt;&gt;TRUE),IFERROR(H252,0)+IFERROR(I252,0)+IFERROR(J252,0)+IFERROR(K252,0)+IFERROR(L252,0),0))</f>
        <v/>
      </c>
    </row>
    <row r="253">
      <c r="A253" s="10" t="n"/>
      <c r="B253" s="10" t="n"/>
      <c r="C253" s="11" t="n"/>
      <c r="D253" s="11" t="n"/>
      <c r="E253" s="10" t="n"/>
      <c r="F253" s="10" t="n"/>
      <c r="G253" s="12" t="n"/>
      <c r="H253" s="13" t="n"/>
      <c r="I253" s="13" t="n"/>
      <c r="J253" s="13" t="n"/>
      <c r="K253" s="13" t="n"/>
      <c r="L253" s="13" t="n"/>
      <c r="M253" s="14">
        <f>IFERROR(IF(A253="","",IFERROR(VLOOKUP(A253,Raw_PriorMonth!A:E,5,FALSE),0)),0)</f>
        <v/>
      </c>
      <c r="N253" s="14">
        <f>IF(A253="","",IFERROR(E253,0)+IFERROR(M253,0))</f>
        <v/>
      </c>
      <c r="O253" s="15">
        <f>IF(A253="","",IF(N253&gt;=28,TRUE,FALSE))</f>
        <v/>
      </c>
      <c r="P253" s="15">
        <f>IF(A253="","",OR(G253=TRUE,O253=TRUE))</f>
        <v/>
      </c>
      <c r="Q253" s="16">
        <f>IF(A253="","",IFERROR(H253,0)+IFERROR(I253,0)+IFERROR(J253,0)+IFERROR(K253,0)+IFERROR(L253,0))</f>
        <v/>
      </c>
      <c r="R253" s="16">
        <f>IF(A253="","",IF(P253=TRUE,0,Q253))</f>
        <v/>
      </c>
      <c r="S253" s="16">
        <f>IF(A253="","",IF(P253=TRUE,0,IFERROR(H253,0)))</f>
        <v/>
      </c>
      <c r="T253" s="16">
        <f>IF(A253="","",IF(P253=TRUE,0,IFERROR(I253,0)))</f>
        <v/>
      </c>
      <c r="U253" s="16">
        <f>IF(A253="","",IF(P253=TRUE,0,IFERROR(J253,0)))</f>
        <v/>
      </c>
      <c r="V253" s="16">
        <f>IF(A253="","",IF(P253=TRUE,0,IFERROR(K253,0)))</f>
        <v/>
      </c>
      <c r="W253" s="16">
        <f>IF(A253="","",IF(P253=TRUE,0,IFERROR(L253,0)))</f>
        <v/>
      </c>
      <c r="X253" s="16">
        <f>IF(A253="","",IF(P253=TRUE,0,IFERROR(H253,0)+IFERROR(I253,0)+IFERROR(L253,0)))</f>
        <v/>
      </c>
      <c r="Y253" s="16">
        <f>IF(A253="",0,IF(G253=TRUE,IFERROR(H253,0)+IFERROR(I253,0)+IFERROR(J253,0)+IFERROR(K253,0)+IFERROR(L253,0),0))</f>
        <v/>
      </c>
      <c r="Z253" s="16">
        <f>IF(A253="",0,IF(AND(O253=TRUE,G253&lt;&gt;TRUE),IFERROR(H253,0)+IFERROR(I253,0)+IFERROR(J253,0)+IFERROR(K253,0)+IFERROR(L253,0),0))</f>
        <v/>
      </c>
    </row>
    <row r="254">
      <c r="A254" s="10" t="n"/>
      <c r="B254" s="10" t="n"/>
      <c r="C254" s="11" t="n"/>
      <c r="D254" s="11" t="n"/>
      <c r="E254" s="10" t="n"/>
      <c r="F254" s="10" t="n"/>
      <c r="G254" s="12" t="n"/>
      <c r="H254" s="13" t="n"/>
      <c r="I254" s="13" t="n"/>
      <c r="J254" s="13" t="n"/>
      <c r="K254" s="13" t="n"/>
      <c r="L254" s="13" t="n"/>
      <c r="M254" s="14">
        <f>IFERROR(IF(A254="","",IFERROR(VLOOKUP(A254,Raw_PriorMonth!A:E,5,FALSE),0)),0)</f>
        <v/>
      </c>
      <c r="N254" s="14">
        <f>IF(A254="","",IFERROR(E254,0)+IFERROR(M254,0))</f>
        <v/>
      </c>
      <c r="O254" s="15">
        <f>IF(A254="","",IF(N254&gt;=28,TRUE,FALSE))</f>
        <v/>
      </c>
      <c r="P254" s="15">
        <f>IF(A254="","",OR(G254=TRUE,O254=TRUE))</f>
        <v/>
      </c>
      <c r="Q254" s="16">
        <f>IF(A254="","",IFERROR(H254,0)+IFERROR(I254,0)+IFERROR(J254,0)+IFERROR(K254,0)+IFERROR(L254,0))</f>
        <v/>
      </c>
      <c r="R254" s="16">
        <f>IF(A254="","",IF(P254=TRUE,0,Q254))</f>
        <v/>
      </c>
      <c r="S254" s="16">
        <f>IF(A254="","",IF(P254=TRUE,0,IFERROR(H254,0)))</f>
        <v/>
      </c>
      <c r="T254" s="16">
        <f>IF(A254="","",IF(P254=TRUE,0,IFERROR(I254,0)))</f>
        <v/>
      </c>
      <c r="U254" s="16">
        <f>IF(A254="","",IF(P254=TRUE,0,IFERROR(J254,0)))</f>
        <v/>
      </c>
      <c r="V254" s="16">
        <f>IF(A254="","",IF(P254=TRUE,0,IFERROR(K254,0)))</f>
        <v/>
      </c>
      <c r="W254" s="16">
        <f>IF(A254="","",IF(P254=TRUE,0,IFERROR(L254,0)))</f>
        <v/>
      </c>
      <c r="X254" s="16">
        <f>IF(A254="","",IF(P254=TRUE,0,IFERROR(H254,0)+IFERROR(I254,0)+IFERROR(L254,0)))</f>
        <v/>
      </c>
      <c r="Y254" s="16">
        <f>IF(A254="",0,IF(G254=TRUE,IFERROR(H254,0)+IFERROR(I254,0)+IFERROR(J254,0)+IFERROR(K254,0)+IFERROR(L254,0),0))</f>
        <v/>
      </c>
      <c r="Z254" s="16">
        <f>IF(A254="",0,IF(AND(O254=TRUE,G254&lt;&gt;TRUE),IFERROR(H254,0)+IFERROR(I254,0)+IFERROR(J254,0)+IFERROR(K254,0)+IFERROR(L254,0),0))</f>
        <v/>
      </c>
    </row>
    <row r="255">
      <c r="A255" s="10" t="n"/>
      <c r="B255" s="10" t="n"/>
      <c r="C255" s="11" t="n"/>
      <c r="D255" s="11" t="n"/>
      <c r="E255" s="10" t="n"/>
      <c r="F255" s="10" t="n"/>
      <c r="G255" s="12" t="n"/>
      <c r="H255" s="13" t="n"/>
      <c r="I255" s="13" t="n"/>
      <c r="J255" s="13" t="n"/>
      <c r="K255" s="13" t="n"/>
      <c r="L255" s="13" t="n"/>
      <c r="M255" s="14">
        <f>IFERROR(IF(A255="","",IFERROR(VLOOKUP(A255,Raw_PriorMonth!A:E,5,FALSE),0)),0)</f>
        <v/>
      </c>
      <c r="N255" s="14">
        <f>IF(A255="","",IFERROR(E255,0)+IFERROR(M255,0))</f>
        <v/>
      </c>
      <c r="O255" s="15">
        <f>IF(A255="","",IF(N255&gt;=28,TRUE,FALSE))</f>
        <v/>
      </c>
      <c r="P255" s="15">
        <f>IF(A255="","",OR(G255=TRUE,O255=TRUE))</f>
        <v/>
      </c>
      <c r="Q255" s="16">
        <f>IF(A255="","",IFERROR(H255,0)+IFERROR(I255,0)+IFERROR(J255,0)+IFERROR(K255,0)+IFERROR(L255,0))</f>
        <v/>
      </c>
      <c r="R255" s="16">
        <f>IF(A255="","",IF(P255=TRUE,0,Q255))</f>
        <v/>
      </c>
      <c r="S255" s="16">
        <f>IF(A255="","",IF(P255=TRUE,0,IFERROR(H255,0)))</f>
        <v/>
      </c>
      <c r="T255" s="16">
        <f>IF(A255="","",IF(P255=TRUE,0,IFERROR(I255,0)))</f>
        <v/>
      </c>
      <c r="U255" s="16">
        <f>IF(A255="","",IF(P255=TRUE,0,IFERROR(J255,0)))</f>
        <v/>
      </c>
      <c r="V255" s="16">
        <f>IF(A255="","",IF(P255=TRUE,0,IFERROR(K255,0)))</f>
        <v/>
      </c>
      <c r="W255" s="16">
        <f>IF(A255="","",IF(P255=TRUE,0,IFERROR(L255,0)))</f>
        <v/>
      </c>
      <c r="X255" s="16">
        <f>IF(A255="","",IF(P255=TRUE,0,IFERROR(H255,0)+IFERROR(I255,0)+IFERROR(L255,0)))</f>
        <v/>
      </c>
      <c r="Y255" s="16">
        <f>IF(A255="",0,IF(G255=TRUE,IFERROR(H255,0)+IFERROR(I255,0)+IFERROR(J255,0)+IFERROR(K255,0)+IFERROR(L255,0),0))</f>
        <v/>
      </c>
      <c r="Z255" s="16">
        <f>IF(A255="",0,IF(AND(O255=TRUE,G255&lt;&gt;TRUE),IFERROR(H255,0)+IFERROR(I255,0)+IFERROR(J255,0)+IFERROR(K255,0)+IFERROR(L255,0),0))</f>
        <v/>
      </c>
    </row>
    <row r="256">
      <c r="A256" s="10" t="n"/>
      <c r="B256" s="10" t="n"/>
      <c r="C256" s="11" t="n"/>
      <c r="D256" s="11" t="n"/>
      <c r="E256" s="10" t="n"/>
      <c r="F256" s="10" t="n"/>
      <c r="G256" s="12" t="n"/>
      <c r="H256" s="13" t="n"/>
      <c r="I256" s="13" t="n"/>
      <c r="J256" s="13" t="n"/>
      <c r="K256" s="13" t="n"/>
      <c r="L256" s="13" t="n"/>
      <c r="M256" s="14">
        <f>IFERROR(IF(A256="","",IFERROR(VLOOKUP(A256,Raw_PriorMonth!A:E,5,FALSE),0)),0)</f>
        <v/>
      </c>
      <c r="N256" s="14">
        <f>IF(A256="","",IFERROR(E256,0)+IFERROR(M256,0))</f>
        <v/>
      </c>
      <c r="O256" s="15">
        <f>IF(A256="","",IF(N256&gt;=28,TRUE,FALSE))</f>
        <v/>
      </c>
      <c r="P256" s="15">
        <f>IF(A256="","",OR(G256=TRUE,O256=TRUE))</f>
        <v/>
      </c>
      <c r="Q256" s="16">
        <f>IF(A256="","",IFERROR(H256,0)+IFERROR(I256,0)+IFERROR(J256,0)+IFERROR(K256,0)+IFERROR(L256,0))</f>
        <v/>
      </c>
      <c r="R256" s="16">
        <f>IF(A256="","",IF(P256=TRUE,0,Q256))</f>
        <v/>
      </c>
      <c r="S256" s="16">
        <f>IF(A256="","",IF(P256=TRUE,0,IFERROR(H256,0)))</f>
        <v/>
      </c>
      <c r="T256" s="16">
        <f>IF(A256="","",IF(P256=TRUE,0,IFERROR(I256,0)))</f>
        <v/>
      </c>
      <c r="U256" s="16">
        <f>IF(A256="","",IF(P256=TRUE,0,IFERROR(J256,0)))</f>
        <v/>
      </c>
      <c r="V256" s="16">
        <f>IF(A256="","",IF(P256=TRUE,0,IFERROR(K256,0)))</f>
        <v/>
      </c>
      <c r="W256" s="16">
        <f>IF(A256="","",IF(P256=TRUE,0,IFERROR(L256,0)))</f>
        <v/>
      </c>
      <c r="X256" s="16">
        <f>IF(A256="","",IF(P256=TRUE,0,IFERROR(H256,0)+IFERROR(I256,0)+IFERROR(L256,0)))</f>
        <v/>
      </c>
      <c r="Y256" s="16">
        <f>IF(A256="",0,IF(G256=TRUE,IFERROR(H256,0)+IFERROR(I256,0)+IFERROR(J256,0)+IFERROR(K256,0)+IFERROR(L256,0),0))</f>
        <v/>
      </c>
      <c r="Z256" s="16">
        <f>IF(A256="",0,IF(AND(O256=TRUE,G256&lt;&gt;TRUE),IFERROR(H256,0)+IFERROR(I256,0)+IFERROR(J256,0)+IFERROR(K256,0)+IFERROR(L256,0),0))</f>
        <v/>
      </c>
    </row>
    <row r="257">
      <c r="A257" s="10" t="n"/>
      <c r="B257" s="10" t="n"/>
      <c r="C257" s="11" t="n"/>
      <c r="D257" s="11" t="n"/>
      <c r="E257" s="10" t="n"/>
      <c r="F257" s="10" t="n"/>
      <c r="G257" s="12" t="n"/>
      <c r="H257" s="13" t="n"/>
      <c r="I257" s="13" t="n"/>
      <c r="J257" s="13" t="n"/>
      <c r="K257" s="13" t="n"/>
      <c r="L257" s="13" t="n"/>
      <c r="M257" s="14">
        <f>IFERROR(IF(A257="","",IFERROR(VLOOKUP(A257,Raw_PriorMonth!A:E,5,FALSE),0)),0)</f>
        <v/>
      </c>
      <c r="N257" s="14">
        <f>IF(A257="","",IFERROR(E257,0)+IFERROR(M257,0))</f>
        <v/>
      </c>
      <c r="O257" s="15">
        <f>IF(A257="","",IF(N257&gt;=28,TRUE,FALSE))</f>
        <v/>
      </c>
      <c r="P257" s="15">
        <f>IF(A257="","",OR(G257=TRUE,O257=TRUE))</f>
        <v/>
      </c>
      <c r="Q257" s="16">
        <f>IF(A257="","",IFERROR(H257,0)+IFERROR(I257,0)+IFERROR(J257,0)+IFERROR(K257,0)+IFERROR(L257,0))</f>
        <v/>
      </c>
      <c r="R257" s="16">
        <f>IF(A257="","",IF(P257=TRUE,0,Q257))</f>
        <v/>
      </c>
      <c r="S257" s="16">
        <f>IF(A257="","",IF(P257=TRUE,0,IFERROR(H257,0)))</f>
        <v/>
      </c>
      <c r="T257" s="16">
        <f>IF(A257="","",IF(P257=TRUE,0,IFERROR(I257,0)))</f>
        <v/>
      </c>
      <c r="U257" s="16">
        <f>IF(A257="","",IF(P257=TRUE,0,IFERROR(J257,0)))</f>
        <v/>
      </c>
      <c r="V257" s="16">
        <f>IF(A257="","",IF(P257=TRUE,0,IFERROR(K257,0)))</f>
        <v/>
      </c>
      <c r="W257" s="16">
        <f>IF(A257="","",IF(P257=TRUE,0,IFERROR(L257,0)))</f>
        <v/>
      </c>
      <c r="X257" s="16">
        <f>IF(A257="","",IF(P257=TRUE,0,IFERROR(H257,0)+IFERROR(I257,0)+IFERROR(L257,0)))</f>
        <v/>
      </c>
      <c r="Y257" s="16">
        <f>IF(A257="",0,IF(G257=TRUE,IFERROR(H257,0)+IFERROR(I257,0)+IFERROR(J257,0)+IFERROR(K257,0)+IFERROR(L257,0),0))</f>
        <v/>
      </c>
      <c r="Z257" s="16">
        <f>IF(A257="",0,IF(AND(O257=TRUE,G257&lt;&gt;TRUE),IFERROR(H257,0)+IFERROR(I257,0)+IFERROR(J257,0)+IFERROR(K257,0)+IFERROR(L257,0),0))</f>
        <v/>
      </c>
    </row>
    <row r="258">
      <c r="A258" s="10" t="n"/>
      <c r="B258" s="10" t="n"/>
      <c r="C258" s="11" t="n"/>
      <c r="D258" s="11" t="n"/>
      <c r="E258" s="10" t="n"/>
      <c r="F258" s="10" t="n"/>
      <c r="G258" s="12" t="n"/>
      <c r="H258" s="13" t="n"/>
      <c r="I258" s="13" t="n"/>
      <c r="J258" s="13" t="n"/>
      <c r="K258" s="13" t="n"/>
      <c r="L258" s="13" t="n"/>
      <c r="M258" s="14">
        <f>IFERROR(IF(A258="","",IFERROR(VLOOKUP(A258,Raw_PriorMonth!A:E,5,FALSE),0)),0)</f>
        <v/>
      </c>
      <c r="N258" s="14">
        <f>IF(A258="","",IFERROR(E258,0)+IFERROR(M258,0))</f>
        <v/>
      </c>
      <c r="O258" s="15">
        <f>IF(A258="","",IF(N258&gt;=28,TRUE,FALSE))</f>
        <v/>
      </c>
      <c r="P258" s="15">
        <f>IF(A258="","",OR(G258=TRUE,O258=TRUE))</f>
        <v/>
      </c>
      <c r="Q258" s="16">
        <f>IF(A258="","",IFERROR(H258,0)+IFERROR(I258,0)+IFERROR(J258,0)+IFERROR(K258,0)+IFERROR(L258,0))</f>
        <v/>
      </c>
      <c r="R258" s="16">
        <f>IF(A258="","",IF(P258=TRUE,0,Q258))</f>
        <v/>
      </c>
      <c r="S258" s="16">
        <f>IF(A258="","",IF(P258=TRUE,0,IFERROR(H258,0)))</f>
        <v/>
      </c>
      <c r="T258" s="16">
        <f>IF(A258="","",IF(P258=TRUE,0,IFERROR(I258,0)))</f>
        <v/>
      </c>
      <c r="U258" s="16">
        <f>IF(A258="","",IF(P258=TRUE,0,IFERROR(J258,0)))</f>
        <v/>
      </c>
      <c r="V258" s="16">
        <f>IF(A258="","",IF(P258=TRUE,0,IFERROR(K258,0)))</f>
        <v/>
      </c>
      <c r="W258" s="16">
        <f>IF(A258="","",IF(P258=TRUE,0,IFERROR(L258,0)))</f>
        <v/>
      </c>
      <c r="X258" s="16">
        <f>IF(A258="","",IF(P258=TRUE,0,IFERROR(H258,0)+IFERROR(I258,0)+IFERROR(L258,0)))</f>
        <v/>
      </c>
      <c r="Y258" s="16">
        <f>IF(A258="",0,IF(G258=TRUE,IFERROR(H258,0)+IFERROR(I258,0)+IFERROR(J258,0)+IFERROR(K258,0)+IFERROR(L258,0),0))</f>
        <v/>
      </c>
      <c r="Z258" s="16">
        <f>IF(A258="",0,IF(AND(O258=TRUE,G258&lt;&gt;TRUE),IFERROR(H258,0)+IFERROR(I258,0)+IFERROR(J258,0)+IFERROR(K258,0)+IFERROR(L258,0),0))</f>
        <v/>
      </c>
    </row>
    <row r="259">
      <c r="A259" s="10" t="n"/>
      <c r="B259" s="10" t="n"/>
      <c r="C259" s="11" t="n"/>
      <c r="D259" s="11" t="n"/>
      <c r="E259" s="10" t="n"/>
      <c r="F259" s="10" t="n"/>
      <c r="G259" s="12" t="n"/>
      <c r="H259" s="13" t="n"/>
      <c r="I259" s="13" t="n"/>
      <c r="J259" s="13" t="n"/>
      <c r="K259" s="13" t="n"/>
      <c r="L259" s="13" t="n"/>
      <c r="M259" s="14">
        <f>IFERROR(IF(A259="","",IFERROR(VLOOKUP(A259,Raw_PriorMonth!A:E,5,FALSE),0)),0)</f>
        <v/>
      </c>
      <c r="N259" s="14">
        <f>IF(A259="","",IFERROR(E259,0)+IFERROR(M259,0))</f>
        <v/>
      </c>
      <c r="O259" s="15">
        <f>IF(A259="","",IF(N259&gt;=28,TRUE,FALSE))</f>
        <v/>
      </c>
      <c r="P259" s="15">
        <f>IF(A259="","",OR(G259=TRUE,O259=TRUE))</f>
        <v/>
      </c>
      <c r="Q259" s="16">
        <f>IF(A259="","",IFERROR(H259,0)+IFERROR(I259,0)+IFERROR(J259,0)+IFERROR(K259,0)+IFERROR(L259,0))</f>
        <v/>
      </c>
      <c r="R259" s="16">
        <f>IF(A259="","",IF(P259=TRUE,0,Q259))</f>
        <v/>
      </c>
      <c r="S259" s="16">
        <f>IF(A259="","",IF(P259=TRUE,0,IFERROR(H259,0)))</f>
        <v/>
      </c>
      <c r="T259" s="16">
        <f>IF(A259="","",IF(P259=TRUE,0,IFERROR(I259,0)))</f>
        <v/>
      </c>
      <c r="U259" s="16">
        <f>IF(A259="","",IF(P259=TRUE,0,IFERROR(J259,0)))</f>
        <v/>
      </c>
      <c r="V259" s="16">
        <f>IF(A259="","",IF(P259=TRUE,0,IFERROR(K259,0)))</f>
        <v/>
      </c>
      <c r="W259" s="16">
        <f>IF(A259="","",IF(P259=TRUE,0,IFERROR(L259,0)))</f>
        <v/>
      </c>
      <c r="X259" s="16">
        <f>IF(A259="","",IF(P259=TRUE,0,IFERROR(H259,0)+IFERROR(I259,0)+IFERROR(L259,0)))</f>
        <v/>
      </c>
      <c r="Y259" s="16">
        <f>IF(A259="",0,IF(G259=TRUE,IFERROR(H259,0)+IFERROR(I259,0)+IFERROR(J259,0)+IFERROR(K259,0)+IFERROR(L259,0),0))</f>
        <v/>
      </c>
      <c r="Z259" s="16">
        <f>IF(A259="",0,IF(AND(O259=TRUE,G259&lt;&gt;TRUE),IFERROR(H259,0)+IFERROR(I259,0)+IFERROR(J259,0)+IFERROR(K259,0)+IFERROR(L259,0),0))</f>
        <v/>
      </c>
    </row>
    <row r="260">
      <c r="A260" s="10" t="n"/>
      <c r="B260" s="10" t="n"/>
      <c r="C260" s="11" t="n"/>
      <c r="D260" s="11" t="n"/>
      <c r="E260" s="10" t="n"/>
      <c r="F260" s="10" t="n"/>
      <c r="G260" s="12" t="n"/>
      <c r="H260" s="13" t="n"/>
      <c r="I260" s="13" t="n"/>
      <c r="J260" s="13" t="n"/>
      <c r="K260" s="13" t="n"/>
      <c r="L260" s="13" t="n"/>
      <c r="M260" s="14">
        <f>IFERROR(IF(A260="","",IFERROR(VLOOKUP(A260,Raw_PriorMonth!A:E,5,FALSE),0)),0)</f>
        <v/>
      </c>
      <c r="N260" s="14">
        <f>IF(A260="","",IFERROR(E260,0)+IFERROR(M260,0))</f>
        <v/>
      </c>
      <c r="O260" s="15">
        <f>IF(A260="","",IF(N260&gt;=28,TRUE,FALSE))</f>
        <v/>
      </c>
      <c r="P260" s="15">
        <f>IF(A260="","",OR(G260=TRUE,O260=TRUE))</f>
        <v/>
      </c>
      <c r="Q260" s="16">
        <f>IF(A260="","",IFERROR(H260,0)+IFERROR(I260,0)+IFERROR(J260,0)+IFERROR(K260,0)+IFERROR(L260,0))</f>
        <v/>
      </c>
      <c r="R260" s="16">
        <f>IF(A260="","",IF(P260=TRUE,0,Q260))</f>
        <v/>
      </c>
      <c r="S260" s="16">
        <f>IF(A260="","",IF(P260=TRUE,0,IFERROR(H260,0)))</f>
        <v/>
      </c>
      <c r="T260" s="16">
        <f>IF(A260="","",IF(P260=TRUE,0,IFERROR(I260,0)))</f>
        <v/>
      </c>
      <c r="U260" s="16">
        <f>IF(A260="","",IF(P260=TRUE,0,IFERROR(J260,0)))</f>
        <v/>
      </c>
      <c r="V260" s="16">
        <f>IF(A260="","",IF(P260=TRUE,0,IFERROR(K260,0)))</f>
        <v/>
      </c>
      <c r="W260" s="16">
        <f>IF(A260="","",IF(P260=TRUE,0,IFERROR(L260,0)))</f>
        <v/>
      </c>
      <c r="X260" s="16">
        <f>IF(A260="","",IF(P260=TRUE,0,IFERROR(H260,0)+IFERROR(I260,0)+IFERROR(L260,0)))</f>
        <v/>
      </c>
      <c r="Y260" s="16">
        <f>IF(A260="",0,IF(G260=TRUE,IFERROR(H260,0)+IFERROR(I260,0)+IFERROR(J260,0)+IFERROR(K260,0)+IFERROR(L260,0),0))</f>
        <v/>
      </c>
      <c r="Z260" s="16">
        <f>IF(A260="",0,IF(AND(O260=TRUE,G260&lt;&gt;TRUE),IFERROR(H260,0)+IFERROR(I260,0)+IFERROR(J260,0)+IFERROR(K260,0)+IFERROR(L260,0),0))</f>
        <v/>
      </c>
    </row>
    <row r="261">
      <c r="A261" s="10" t="n"/>
      <c r="B261" s="10" t="n"/>
      <c r="C261" s="11" t="n"/>
      <c r="D261" s="11" t="n"/>
      <c r="E261" s="10" t="n"/>
      <c r="F261" s="10" t="n"/>
      <c r="G261" s="12" t="n"/>
      <c r="H261" s="13" t="n"/>
      <c r="I261" s="13" t="n"/>
      <c r="J261" s="13" t="n"/>
      <c r="K261" s="13" t="n"/>
      <c r="L261" s="13" t="n"/>
      <c r="M261" s="14">
        <f>IFERROR(IF(A261="","",IFERROR(VLOOKUP(A261,Raw_PriorMonth!A:E,5,FALSE),0)),0)</f>
        <v/>
      </c>
      <c r="N261" s="14">
        <f>IF(A261="","",IFERROR(E261,0)+IFERROR(M261,0))</f>
        <v/>
      </c>
      <c r="O261" s="15">
        <f>IF(A261="","",IF(N261&gt;=28,TRUE,FALSE))</f>
        <v/>
      </c>
      <c r="P261" s="15">
        <f>IF(A261="","",OR(G261=TRUE,O261=TRUE))</f>
        <v/>
      </c>
      <c r="Q261" s="16">
        <f>IF(A261="","",IFERROR(H261,0)+IFERROR(I261,0)+IFERROR(J261,0)+IFERROR(K261,0)+IFERROR(L261,0))</f>
        <v/>
      </c>
      <c r="R261" s="16">
        <f>IF(A261="","",IF(P261=TRUE,0,Q261))</f>
        <v/>
      </c>
      <c r="S261" s="16">
        <f>IF(A261="","",IF(P261=TRUE,0,IFERROR(H261,0)))</f>
        <v/>
      </c>
      <c r="T261" s="16">
        <f>IF(A261="","",IF(P261=TRUE,0,IFERROR(I261,0)))</f>
        <v/>
      </c>
      <c r="U261" s="16">
        <f>IF(A261="","",IF(P261=TRUE,0,IFERROR(J261,0)))</f>
        <v/>
      </c>
      <c r="V261" s="16">
        <f>IF(A261="","",IF(P261=TRUE,0,IFERROR(K261,0)))</f>
        <v/>
      </c>
      <c r="W261" s="16">
        <f>IF(A261="","",IF(P261=TRUE,0,IFERROR(L261,0)))</f>
        <v/>
      </c>
      <c r="X261" s="16">
        <f>IF(A261="","",IF(P261=TRUE,0,IFERROR(H261,0)+IFERROR(I261,0)+IFERROR(L261,0)))</f>
        <v/>
      </c>
      <c r="Y261" s="16">
        <f>IF(A261="",0,IF(G261=TRUE,IFERROR(H261,0)+IFERROR(I261,0)+IFERROR(J261,0)+IFERROR(K261,0)+IFERROR(L261,0),0))</f>
        <v/>
      </c>
      <c r="Z261" s="16">
        <f>IF(A261="",0,IF(AND(O261=TRUE,G261&lt;&gt;TRUE),IFERROR(H261,0)+IFERROR(I261,0)+IFERROR(J261,0)+IFERROR(K261,0)+IFERROR(L261,0),0))</f>
        <v/>
      </c>
    </row>
    <row r="262">
      <c r="A262" s="10" t="n"/>
      <c r="B262" s="10" t="n"/>
      <c r="C262" s="11" t="n"/>
      <c r="D262" s="11" t="n"/>
      <c r="E262" s="10" t="n"/>
      <c r="F262" s="10" t="n"/>
      <c r="G262" s="12" t="n"/>
      <c r="H262" s="13" t="n"/>
      <c r="I262" s="13" t="n"/>
      <c r="J262" s="13" t="n"/>
      <c r="K262" s="13" t="n"/>
      <c r="L262" s="13" t="n"/>
      <c r="M262" s="14">
        <f>IFERROR(IF(A262="","",IFERROR(VLOOKUP(A262,Raw_PriorMonth!A:E,5,FALSE),0)),0)</f>
        <v/>
      </c>
      <c r="N262" s="14">
        <f>IF(A262="","",IFERROR(E262,0)+IFERROR(M262,0))</f>
        <v/>
      </c>
      <c r="O262" s="15">
        <f>IF(A262="","",IF(N262&gt;=28,TRUE,FALSE))</f>
        <v/>
      </c>
      <c r="P262" s="15">
        <f>IF(A262="","",OR(G262=TRUE,O262=TRUE))</f>
        <v/>
      </c>
      <c r="Q262" s="16">
        <f>IF(A262="","",IFERROR(H262,0)+IFERROR(I262,0)+IFERROR(J262,0)+IFERROR(K262,0)+IFERROR(L262,0))</f>
        <v/>
      </c>
      <c r="R262" s="16">
        <f>IF(A262="","",IF(P262=TRUE,0,Q262))</f>
        <v/>
      </c>
      <c r="S262" s="16">
        <f>IF(A262="","",IF(P262=TRUE,0,IFERROR(H262,0)))</f>
        <v/>
      </c>
      <c r="T262" s="16">
        <f>IF(A262="","",IF(P262=TRUE,0,IFERROR(I262,0)))</f>
        <v/>
      </c>
      <c r="U262" s="16">
        <f>IF(A262="","",IF(P262=TRUE,0,IFERROR(J262,0)))</f>
        <v/>
      </c>
      <c r="V262" s="16">
        <f>IF(A262="","",IF(P262=TRUE,0,IFERROR(K262,0)))</f>
        <v/>
      </c>
      <c r="W262" s="16">
        <f>IF(A262="","",IF(P262=TRUE,0,IFERROR(L262,0)))</f>
        <v/>
      </c>
      <c r="X262" s="16">
        <f>IF(A262="","",IF(P262=TRUE,0,IFERROR(H262,0)+IFERROR(I262,0)+IFERROR(L262,0)))</f>
        <v/>
      </c>
      <c r="Y262" s="16">
        <f>IF(A262="",0,IF(G262=TRUE,IFERROR(H262,0)+IFERROR(I262,0)+IFERROR(J262,0)+IFERROR(K262,0)+IFERROR(L262,0),0))</f>
        <v/>
      </c>
      <c r="Z262" s="16">
        <f>IF(A262="",0,IF(AND(O262=TRUE,G262&lt;&gt;TRUE),IFERROR(H262,0)+IFERROR(I262,0)+IFERROR(J262,0)+IFERROR(K262,0)+IFERROR(L262,0),0))</f>
        <v/>
      </c>
    </row>
    <row r="263">
      <c r="A263" s="10" t="n"/>
      <c r="B263" s="10" t="n"/>
      <c r="C263" s="11" t="n"/>
      <c r="D263" s="11" t="n"/>
      <c r="E263" s="10" t="n"/>
      <c r="F263" s="10" t="n"/>
      <c r="G263" s="12" t="n"/>
      <c r="H263" s="13" t="n"/>
      <c r="I263" s="13" t="n"/>
      <c r="J263" s="13" t="n"/>
      <c r="K263" s="13" t="n"/>
      <c r="L263" s="13" t="n"/>
      <c r="M263" s="14">
        <f>IFERROR(IF(A263="","",IFERROR(VLOOKUP(A263,Raw_PriorMonth!A:E,5,FALSE),0)),0)</f>
        <v/>
      </c>
      <c r="N263" s="14">
        <f>IF(A263="","",IFERROR(E263,0)+IFERROR(M263,0))</f>
        <v/>
      </c>
      <c r="O263" s="15">
        <f>IF(A263="","",IF(N263&gt;=28,TRUE,FALSE))</f>
        <v/>
      </c>
      <c r="P263" s="15">
        <f>IF(A263="","",OR(G263=TRUE,O263=TRUE))</f>
        <v/>
      </c>
      <c r="Q263" s="16">
        <f>IF(A263="","",IFERROR(H263,0)+IFERROR(I263,0)+IFERROR(J263,0)+IFERROR(K263,0)+IFERROR(L263,0))</f>
        <v/>
      </c>
      <c r="R263" s="16">
        <f>IF(A263="","",IF(P263=TRUE,0,Q263))</f>
        <v/>
      </c>
      <c r="S263" s="16">
        <f>IF(A263="","",IF(P263=TRUE,0,IFERROR(H263,0)))</f>
        <v/>
      </c>
      <c r="T263" s="16">
        <f>IF(A263="","",IF(P263=TRUE,0,IFERROR(I263,0)))</f>
        <v/>
      </c>
      <c r="U263" s="16">
        <f>IF(A263="","",IF(P263=TRUE,0,IFERROR(J263,0)))</f>
        <v/>
      </c>
      <c r="V263" s="16">
        <f>IF(A263="","",IF(P263=TRUE,0,IFERROR(K263,0)))</f>
        <v/>
      </c>
      <c r="W263" s="16">
        <f>IF(A263="","",IF(P263=TRUE,0,IFERROR(L263,0)))</f>
        <v/>
      </c>
      <c r="X263" s="16">
        <f>IF(A263="","",IF(P263=TRUE,0,IFERROR(H263,0)+IFERROR(I263,0)+IFERROR(L263,0)))</f>
        <v/>
      </c>
      <c r="Y263" s="16">
        <f>IF(A263="",0,IF(G263=TRUE,IFERROR(H263,0)+IFERROR(I263,0)+IFERROR(J263,0)+IFERROR(K263,0)+IFERROR(L263,0),0))</f>
        <v/>
      </c>
      <c r="Z263" s="16">
        <f>IF(A263="",0,IF(AND(O263=TRUE,G263&lt;&gt;TRUE),IFERROR(H263,0)+IFERROR(I263,0)+IFERROR(J263,0)+IFERROR(K263,0)+IFERROR(L263,0),0))</f>
        <v/>
      </c>
    </row>
    <row r="264">
      <c r="A264" s="10" t="n"/>
      <c r="B264" s="10" t="n"/>
      <c r="C264" s="11" t="n"/>
      <c r="D264" s="11" t="n"/>
      <c r="E264" s="10" t="n"/>
      <c r="F264" s="10" t="n"/>
      <c r="G264" s="12" t="n"/>
      <c r="H264" s="13" t="n"/>
      <c r="I264" s="13" t="n"/>
      <c r="J264" s="13" t="n"/>
      <c r="K264" s="13" t="n"/>
      <c r="L264" s="13" t="n"/>
      <c r="M264" s="14">
        <f>IFERROR(IF(A264="","",IFERROR(VLOOKUP(A264,Raw_PriorMonth!A:E,5,FALSE),0)),0)</f>
        <v/>
      </c>
      <c r="N264" s="14">
        <f>IF(A264="","",IFERROR(E264,0)+IFERROR(M264,0))</f>
        <v/>
      </c>
      <c r="O264" s="15">
        <f>IF(A264="","",IF(N264&gt;=28,TRUE,FALSE))</f>
        <v/>
      </c>
      <c r="P264" s="15">
        <f>IF(A264="","",OR(G264=TRUE,O264=TRUE))</f>
        <v/>
      </c>
      <c r="Q264" s="16">
        <f>IF(A264="","",IFERROR(H264,0)+IFERROR(I264,0)+IFERROR(J264,0)+IFERROR(K264,0)+IFERROR(L264,0))</f>
        <v/>
      </c>
      <c r="R264" s="16">
        <f>IF(A264="","",IF(P264=TRUE,0,Q264))</f>
        <v/>
      </c>
      <c r="S264" s="16">
        <f>IF(A264="","",IF(P264=TRUE,0,IFERROR(H264,0)))</f>
        <v/>
      </c>
      <c r="T264" s="16">
        <f>IF(A264="","",IF(P264=TRUE,0,IFERROR(I264,0)))</f>
        <v/>
      </c>
      <c r="U264" s="16">
        <f>IF(A264="","",IF(P264=TRUE,0,IFERROR(J264,0)))</f>
        <v/>
      </c>
      <c r="V264" s="16">
        <f>IF(A264="","",IF(P264=TRUE,0,IFERROR(K264,0)))</f>
        <v/>
      </c>
      <c r="W264" s="16">
        <f>IF(A264="","",IF(P264=TRUE,0,IFERROR(L264,0)))</f>
        <v/>
      </c>
      <c r="X264" s="16">
        <f>IF(A264="","",IF(P264=TRUE,0,IFERROR(H264,0)+IFERROR(I264,0)+IFERROR(L264,0)))</f>
        <v/>
      </c>
      <c r="Y264" s="16">
        <f>IF(A264="",0,IF(G264=TRUE,IFERROR(H264,0)+IFERROR(I264,0)+IFERROR(J264,0)+IFERROR(K264,0)+IFERROR(L264,0),0))</f>
        <v/>
      </c>
      <c r="Z264" s="16">
        <f>IF(A264="",0,IF(AND(O264=TRUE,G264&lt;&gt;TRUE),IFERROR(H264,0)+IFERROR(I264,0)+IFERROR(J264,0)+IFERROR(K264,0)+IFERROR(L264,0),0))</f>
        <v/>
      </c>
    </row>
    <row r="265">
      <c r="A265" s="10" t="n"/>
      <c r="B265" s="10" t="n"/>
      <c r="C265" s="11" t="n"/>
      <c r="D265" s="11" t="n"/>
      <c r="E265" s="10" t="n"/>
      <c r="F265" s="10" t="n"/>
      <c r="G265" s="12" t="n"/>
      <c r="H265" s="13" t="n"/>
      <c r="I265" s="13" t="n"/>
      <c r="J265" s="13" t="n"/>
      <c r="K265" s="13" t="n"/>
      <c r="L265" s="13" t="n"/>
      <c r="M265" s="14">
        <f>IFERROR(IF(A265="","",IFERROR(VLOOKUP(A265,Raw_PriorMonth!A:E,5,FALSE),0)),0)</f>
        <v/>
      </c>
      <c r="N265" s="14">
        <f>IF(A265="","",IFERROR(E265,0)+IFERROR(M265,0))</f>
        <v/>
      </c>
      <c r="O265" s="15">
        <f>IF(A265="","",IF(N265&gt;=28,TRUE,FALSE))</f>
        <v/>
      </c>
      <c r="P265" s="15">
        <f>IF(A265="","",OR(G265=TRUE,O265=TRUE))</f>
        <v/>
      </c>
      <c r="Q265" s="16">
        <f>IF(A265="","",IFERROR(H265,0)+IFERROR(I265,0)+IFERROR(J265,0)+IFERROR(K265,0)+IFERROR(L265,0))</f>
        <v/>
      </c>
      <c r="R265" s="16">
        <f>IF(A265="","",IF(P265=TRUE,0,Q265))</f>
        <v/>
      </c>
      <c r="S265" s="16">
        <f>IF(A265="","",IF(P265=TRUE,0,IFERROR(H265,0)))</f>
        <v/>
      </c>
      <c r="T265" s="16">
        <f>IF(A265="","",IF(P265=TRUE,0,IFERROR(I265,0)))</f>
        <v/>
      </c>
      <c r="U265" s="16">
        <f>IF(A265="","",IF(P265=TRUE,0,IFERROR(J265,0)))</f>
        <v/>
      </c>
      <c r="V265" s="16">
        <f>IF(A265="","",IF(P265=TRUE,0,IFERROR(K265,0)))</f>
        <v/>
      </c>
      <c r="W265" s="16">
        <f>IF(A265="","",IF(P265=TRUE,0,IFERROR(L265,0)))</f>
        <v/>
      </c>
      <c r="X265" s="16">
        <f>IF(A265="","",IF(P265=TRUE,0,IFERROR(H265,0)+IFERROR(I265,0)+IFERROR(L265,0)))</f>
        <v/>
      </c>
      <c r="Y265" s="16">
        <f>IF(A265="",0,IF(G265=TRUE,IFERROR(H265,0)+IFERROR(I265,0)+IFERROR(J265,0)+IFERROR(K265,0)+IFERROR(L265,0),0))</f>
        <v/>
      </c>
      <c r="Z265" s="16">
        <f>IF(A265="",0,IF(AND(O265=TRUE,G265&lt;&gt;TRUE),IFERROR(H265,0)+IFERROR(I265,0)+IFERROR(J265,0)+IFERROR(K265,0)+IFERROR(L265,0),0))</f>
        <v/>
      </c>
    </row>
    <row r="266">
      <c r="A266" s="10" t="n"/>
      <c r="B266" s="10" t="n"/>
      <c r="C266" s="11" t="n"/>
      <c r="D266" s="11" t="n"/>
      <c r="E266" s="10" t="n"/>
      <c r="F266" s="10" t="n"/>
      <c r="G266" s="12" t="n"/>
      <c r="H266" s="13" t="n"/>
      <c r="I266" s="13" t="n"/>
      <c r="J266" s="13" t="n"/>
      <c r="K266" s="13" t="n"/>
      <c r="L266" s="13" t="n"/>
      <c r="M266" s="14">
        <f>IFERROR(IF(A266="","",IFERROR(VLOOKUP(A266,Raw_PriorMonth!A:E,5,FALSE),0)),0)</f>
        <v/>
      </c>
      <c r="N266" s="14">
        <f>IF(A266="","",IFERROR(E266,0)+IFERROR(M266,0))</f>
        <v/>
      </c>
      <c r="O266" s="15">
        <f>IF(A266="","",IF(N266&gt;=28,TRUE,FALSE))</f>
        <v/>
      </c>
      <c r="P266" s="15">
        <f>IF(A266="","",OR(G266=TRUE,O266=TRUE))</f>
        <v/>
      </c>
      <c r="Q266" s="16">
        <f>IF(A266="","",IFERROR(H266,0)+IFERROR(I266,0)+IFERROR(J266,0)+IFERROR(K266,0)+IFERROR(L266,0))</f>
        <v/>
      </c>
      <c r="R266" s="16">
        <f>IF(A266="","",IF(P266=TRUE,0,Q266))</f>
        <v/>
      </c>
      <c r="S266" s="16">
        <f>IF(A266="","",IF(P266=TRUE,0,IFERROR(H266,0)))</f>
        <v/>
      </c>
      <c r="T266" s="16">
        <f>IF(A266="","",IF(P266=TRUE,0,IFERROR(I266,0)))</f>
        <v/>
      </c>
      <c r="U266" s="16">
        <f>IF(A266="","",IF(P266=TRUE,0,IFERROR(J266,0)))</f>
        <v/>
      </c>
      <c r="V266" s="16">
        <f>IF(A266="","",IF(P266=TRUE,0,IFERROR(K266,0)))</f>
        <v/>
      </c>
      <c r="W266" s="16">
        <f>IF(A266="","",IF(P266=TRUE,0,IFERROR(L266,0)))</f>
        <v/>
      </c>
      <c r="X266" s="16">
        <f>IF(A266="","",IF(P266=TRUE,0,IFERROR(H266,0)+IFERROR(I266,0)+IFERROR(L266,0)))</f>
        <v/>
      </c>
      <c r="Y266" s="16">
        <f>IF(A266="",0,IF(G266=TRUE,IFERROR(H266,0)+IFERROR(I266,0)+IFERROR(J266,0)+IFERROR(K266,0)+IFERROR(L266,0),0))</f>
        <v/>
      </c>
      <c r="Z266" s="16">
        <f>IF(A266="",0,IF(AND(O266=TRUE,G266&lt;&gt;TRUE),IFERROR(H266,0)+IFERROR(I266,0)+IFERROR(J266,0)+IFERROR(K266,0)+IFERROR(L266,0),0))</f>
        <v/>
      </c>
    </row>
    <row r="267">
      <c r="A267" s="10" t="n"/>
      <c r="B267" s="10" t="n"/>
      <c r="C267" s="11" t="n"/>
      <c r="D267" s="11" t="n"/>
      <c r="E267" s="10" t="n"/>
      <c r="F267" s="10" t="n"/>
      <c r="G267" s="12" t="n"/>
      <c r="H267" s="13" t="n"/>
      <c r="I267" s="13" t="n"/>
      <c r="J267" s="13" t="n"/>
      <c r="K267" s="13" t="n"/>
      <c r="L267" s="13" t="n"/>
      <c r="M267" s="14">
        <f>IFERROR(IF(A267="","",IFERROR(VLOOKUP(A267,Raw_PriorMonth!A:E,5,FALSE),0)),0)</f>
        <v/>
      </c>
      <c r="N267" s="14">
        <f>IF(A267="","",IFERROR(E267,0)+IFERROR(M267,0))</f>
        <v/>
      </c>
      <c r="O267" s="15">
        <f>IF(A267="","",IF(N267&gt;=28,TRUE,FALSE))</f>
        <v/>
      </c>
      <c r="P267" s="15">
        <f>IF(A267="","",OR(G267=TRUE,O267=TRUE))</f>
        <v/>
      </c>
      <c r="Q267" s="16">
        <f>IF(A267="","",IFERROR(H267,0)+IFERROR(I267,0)+IFERROR(J267,0)+IFERROR(K267,0)+IFERROR(L267,0))</f>
        <v/>
      </c>
      <c r="R267" s="16">
        <f>IF(A267="","",IF(P267=TRUE,0,Q267))</f>
        <v/>
      </c>
      <c r="S267" s="16">
        <f>IF(A267="","",IF(P267=TRUE,0,IFERROR(H267,0)))</f>
        <v/>
      </c>
      <c r="T267" s="16">
        <f>IF(A267="","",IF(P267=TRUE,0,IFERROR(I267,0)))</f>
        <v/>
      </c>
      <c r="U267" s="16">
        <f>IF(A267="","",IF(P267=TRUE,0,IFERROR(J267,0)))</f>
        <v/>
      </c>
      <c r="V267" s="16">
        <f>IF(A267="","",IF(P267=TRUE,0,IFERROR(K267,0)))</f>
        <v/>
      </c>
      <c r="W267" s="16">
        <f>IF(A267="","",IF(P267=TRUE,0,IFERROR(L267,0)))</f>
        <v/>
      </c>
      <c r="X267" s="16">
        <f>IF(A267="","",IF(P267=TRUE,0,IFERROR(H267,0)+IFERROR(I267,0)+IFERROR(L267,0)))</f>
        <v/>
      </c>
      <c r="Y267" s="16">
        <f>IF(A267="",0,IF(G267=TRUE,IFERROR(H267,0)+IFERROR(I267,0)+IFERROR(J267,0)+IFERROR(K267,0)+IFERROR(L267,0),0))</f>
        <v/>
      </c>
      <c r="Z267" s="16">
        <f>IF(A267="",0,IF(AND(O267=TRUE,G267&lt;&gt;TRUE),IFERROR(H267,0)+IFERROR(I267,0)+IFERROR(J267,0)+IFERROR(K267,0)+IFERROR(L267,0),0))</f>
        <v/>
      </c>
    </row>
    <row r="268">
      <c r="A268" s="10" t="n"/>
      <c r="B268" s="10" t="n"/>
      <c r="C268" s="11" t="n"/>
      <c r="D268" s="11" t="n"/>
      <c r="E268" s="10" t="n"/>
      <c r="F268" s="10" t="n"/>
      <c r="G268" s="12" t="n"/>
      <c r="H268" s="13" t="n"/>
      <c r="I268" s="13" t="n"/>
      <c r="J268" s="13" t="n"/>
      <c r="K268" s="13" t="n"/>
      <c r="L268" s="13" t="n"/>
      <c r="M268" s="14">
        <f>IFERROR(IF(A268="","",IFERROR(VLOOKUP(A268,Raw_PriorMonth!A:E,5,FALSE),0)),0)</f>
        <v/>
      </c>
      <c r="N268" s="14">
        <f>IF(A268="","",IFERROR(E268,0)+IFERROR(M268,0))</f>
        <v/>
      </c>
      <c r="O268" s="15">
        <f>IF(A268="","",IF(N268&gt;=28,TRUE,FALSE))</f>
        <v/>
      </c>
      <c r="P268" s="15">
        <f>IF(A268="","",OR(G268=TRUE,O268=TRUE))</f>
        <v/>
      </c>
      <c r="Q268" s="16">
        <f>IF(A268="","",IFERROR(H268,0)+IFERROR(I268,0)+IFERROR(J268,0)+IFERROR(K268,0)+IFERROR(L268,0))</f>
        <v/>
      </c>
      <c r="R268" s="16">
        <f>IF(A268="","",IF(P268=TRUE,0,Q268))</f>
        <v/>
      </c>
      <c r="S268" s="16">
        <f>IF(A268="","",IF(P268=TRUE,0,IFERROR(H268,0)))</f>
        <v/>
      </c>
      <c r="T268" s="16">
        <f>IF(A268="","",IF(P268=TRUE,0,IFERROR(I268,0)))</f>
        <v/>
      </c>
      <c r="U268" s="16">
        <f>IF(A268="","",IF(P268=TRUE,0,IFERROR(J268,0)))</f>
        <v/>
      </c>
      <c r="V268" s="16">
        <f>IF(A268="","",IF(P268=TRUE,0,IFERROR(K268,0)))</f>
        <v/>
      </c>
      <c r="W268" s="16">
        <f>IF(A268="","",IF(P268=TRUE,0,IFERROR(L268,0)))</f>
        <v/>
      </c>
      <c r="X268" s="16">
        <f>IF(A268="","",IF(P268=TRUE,0,IFERROR(H268,0)+IFERROR(I268,0)+IFERROR(L268,0)))</f>
        <v/>
      </c>
      <c r="Y268" s="16">
        <f>IF(A268="",0,IF(G268=TRUE,IFERROR(H268,0)+IFERROR(I268,0)+IFERROR(J268,0)+IFERROR(K268,0)+IFERROR(L268,0),0))</f>
        <v/>
      </c>
      <c r="Z268" s="16">
        <f>IF(A268="",0,IF(AND(O268=TRUE,G268&lt;&gt;TRUE),IFERROR(H268,0)+IFERROR(I268,0)+IFERROR(J268,0)+IFERROR(K268,0)+IFERROR(L268,0),0))</f>
        <v/>
      </c>
    </row>
    <row r="269">
      <c r="A269" s="10" t="n"/>
      <c r="B269" s="10" t="n"/>
      <c r="C269" s="11" t="n"/>
      <c r="D269" s="11" t="n"/>
      <c r="E269" s="10" t="n"/>
      <c r="F269" s="10" t="n"/>
      <c r="G269" s="12" t="n"/>
      <c r="H269" s="13" t="n"/>
      <c r="I269" s="13" t="n"/>
      <c r="J269" s="13" t="n"/>
      <c r="K269" s="13" t="n"/>
      <c r="L269" s="13" t="n"/>
      <c r="M269" s="14">
        <f>IFERROR(IF(A269="","",IFERROR(VLOOKUP(A269,Raw_PriorMonth!A:E,5,FALSE),0)),0)</f>
        <v/>
      </c>
      <c r="N269" s="14">
        <f>IF(A269="","",IFERROR(E269,0)+IFERROR(M269,0))</f>
        <v/>
      </c>
      <c r="O269" s="15">
        <f>IF(A269="","",IF(N269&gt;=28,TRUE,FALSE))</f>
        <v/>
      </c>
      <c r="P269" s="15">
        <f>IF(A269="","",OR(G269=TRUE,O269=TRUE))</f>
        <v/>
      </c>
      <c r="Q269" s="16">
        <f>IF(A269="","",IFERROR(H269,0)+IFERROR(I269,0)+IFERROR(J269,0)+IFERROR(K269,0)+IFERROR(L269,0))</f>
        <v/>
      </c>
      <c r="R269" s="16">
        <f>IF(A269="","",IF(P269=TRUE,0,Q269))</f>
        <v/>
      </c>
      <c r="S269" s="16">
        <f>IF(A269="","",IF(P269=TRUE,0,IFERROR(H269,0)))</f>
        <v/>
      </c>
      <c r="T269" s="16">
        <f>IF(A269="","",IF(P269=TRUE,0,IFERROR(I269,0)))</f>
        <v/>
      </c>
      <c r="U269" s="16">
        <f>IF(A269="","",IF(P269=TRUE,0,IFERROR(J269,0)))</f>
        <v/>
      </c>
      <c r="V269" s="16">
        <f>IF(A269="","",IF(P269=TRUE,0,IFERROR(K269,0)))</f>
        <v/>
      </c>
      <c r="W269" s="16">
        <f>IF(A269="","",IF(P269=TRUE,0,IFERROR(L269,0)))</f>
        <v/>
      </c>
      <c r="X269" s="16">
        <f>IF(A269="","",IF(P269=TRUE,0,IFERROR(H269,0)+IFERROR(I269,0)+IFERROR(L269,0)))</f>
        <v/>
      </c>
      <c r="Y269" s="16">
        <f>IF(A269="",0,IF(G269=TRUE,IFERROR(H269,0)+IFERROR(I269,0)+IFERROR(J269,0)+IFERROR(K269,0)+IFERROR(L269,0),0))</f>
        <v/>
      </c>
      <c r="Z269" s="16">
        <f>IF(A269="",0,IF(AND(O269=TRUE,G269&lt;&gt;TRUE),IFERROR(H269,0)+IFERROR(I269,0)+IFERROR(J269,0)+IFERROR(K269,0)+IFERROR(L269,0),0))</f>
        <v/>
      </c>
    </row>
    <row r="270">
      <c r="A270" s="10" t="n"/>
      <c r="B270" s="10" t="n"/>
      <c r="C270" s="11" t="n"/>
      <c r="D270" s="11" t="n"/>
      <c r="E270" s="10" t="n"/>
      <c r="F270" s="10" t="n"/>
      <c r="G270" s="12" t="n"/>
      <c r="H270" s="13" t="n"/>
      <c r="I270" s="13" t="n"/>
      <c r="J270" s="13" t="n"/>
      <c r="K270" s="13" t="n"/>
      <c r="L270" s="13" t="n"/>
      <c r="M270" s="14">
        <f>IFERROR(IF(A270="","",IFERROR(VLOOKUP(A270,Raw_PriorMonth!A:E,5,FALSE),0)),0)</f>
        <v/>
      </c>
      <c r="N270" s="14">
        <f>IF(A270="","",IFERROR(E270,0)+IFERROR(M270,0))</f>
        <v/>
      </c>
      <c r="O270" s="15">
        <f>IF(A270="","",IF(N270&gt;=28,TRUE,FALSE))</f>
        <v/>
      </c>
      <c r="P270" s="15">
        <f>IF(A270="","",OR(G270=TRUE,O270=TRUE))</f>
        <v/>
      </c>
      <c r="Q270" s="16">
        <f>IF(A270="","",IFERROR(H270,0)+IFERROR(I270,0)+IFERROR(J270,0)+IFERROR(K270,0)+IFERROR(L270,0))</f>
        <v/>
      </c>
      <c r="R270" s="16">
        <f>IF(A270="","",IF(P270=TRUE,0,Q270))</f>
        <v/>
      </c>
      <c r="S270" s="16">
        <f>IF(A270="","",IF(P270=TRUE,0,IFERROR(H270,0)))</f>
        <v/>
      </c>
      <c r="T270" s="16">
        <f>IF(A270="","",IF(P270=TRUE,0,IFERROR(I270,0)))</f>
        <v/>
      </c>
      <c r="U270" s="16">
        <f>IF(A270="","",IF(P270=TRUE,0,IFERROR(J270,0)))</f>
        <v/>
      </c>
      <c r="V270" s="16">
        <f>IF(A270="","",IF(P270=TRUE,0,IFERROR(K270,0)))</f>
        <v/>
      </c>
      <c r="W270" s="16">
        <f>IF(A270="","",IF(P270=TRUE,0,IFERROR(L270,0)))</f>
        <v/>
      </c>
      <c r="X270" s="16">
        <f>IF(A270="","",IF(P270=TRUE,0,IFERROR(H270,0)+IFERROR(I270,0)+IFERROR(L270,0)))</f>
        <v/>
      </c>
      <c r="Y270" s="16">
        <f>IF(A270="",0,IF(G270=TRUE,IFERROR(H270,0)+IFERROR(I270,0)+IFERROR(J270,0)+IFERROR(K270,0)+IFERROR(L270,0),0))</f>
        <v/>
      </c>
      <c r="Z270" s="16">
        <f>IF(A270="",0,IF(AND(O270=TRUE,G270&lt;&gt;TRUE),IFERROR(H270,0)+IFERROR(I270,0)+IFERROR(J270,0)+IFERROR(K270,0)+IFERROR(L270,0),0))</f>
        <v/>
      </c>
    </row>
    <row r="271">
      <c r="A271" s="10" t="n"/>
      <c r="B271" s="10" t="n"/>
      <c r="C271" s="11" t="n"/>
      <c r="D271" s="11" t="n"/>
      <c r="E271" s="10" t="n"/>
      <c r="F271" s="10" t="n"/>
      <c r="G271" s="12" t="n"/>
      <c r="H271" s="13" t="n"/>
      <c r="I271" s="13" t="n"/>
      <c r="J271" s="13" t="n"/>
      <c r="K271" s="13" t="n"/>
      <c r="L271" s="13" t="n"/>
      <c r="M271" s="14">
        <f>IFERROR(IF(A271="","",IFERROR(VLOOKUP(A271,Raw_PriorMonth!A:E,5,FALSE),0)),0)</f>
        <v/>
      </c>
      <c r="N271" s="14">
        <f>IF(A271="","",IFERROR(E271,0)+IFERROR(M271,0))</f>
        <v/>
      </c>
      <c r="O271" s="15">
        <f>IF(A271="","",IF(N271&gt;=28,TRUE,FALSE))</f>
        <v/>
      </c>
      <c r="P271" s="15">
        <f>IF(A271="","",OR(G271=TRUE,O271=TRUE))</f>
        <v/>
      </c>
      <c r="Q271" s="16">
        <f>IF(A271="","",IFERROR(H271,0)+IFERROR(I271,0)+IFERROR(J271,0)+IFERROR(K271,0)+IFERROR(L271,0))</f>
        <v/>
      </c>
      <c r="R271" s="16">
        <f>IF(A271="","",IF(P271=TRUE,0,Q271))</f>
        <v/>
      </c>
      <c r="S271" s="16">
        <f>IF(A271="","",IF(P271=TRUE,0,IFERROR(H271,0)))</f>
        <v/>
      </c>
      <c r="T271" s="16">
        <f>IF(A271="","",IF(P271=TRUE,0,IFERROR(I271,0)))</f>
        <v/>
      </c>
      <c r="U271" s="16">
        <f>IF(A271="","",IF(P271=TRUE,0,IFERROR(J271,0)))</f>
        <v/>
      </c>
      <c r="V271" s="16">
        <f>IF(A271="","",IF(P271=TRUE,0,IFERROR(K271,0)))</f>
        <v/>
      </c>
      <c r="W271" s="16">
        <f>IF(A271="","",IF(P271=TRUE,0,IFERROR(L271,0)))</f>
        <v/>
      </c>
      <c r="X271" s="16">
        <f>IF(A271="","",IF(P271=TRUE,0,IFERROR(H271,0)+IFERROR(I271,0)+IFERROR(L271,0)))</f>
        <v/>
      </c>
      <c r="Y271" s="16">
        <f>IF(A271="",0,IF(G271=TRUE,IFERROR(H271,0)+IFERROR(I271,0)+IFERROR(J271,0)+IFERROR(K271,0)+IFERROR(L271,0),0))</f>
        <v/>
      </c>
      <c r="Z271" s="16">
        <f>IF(A271="",0,IF(AND(O271=TRUE,G271&lt;&gt;TRUE),IFERROR(H271,0)+IFERROR(I271,0)+IFERROR(J271,0)+IFERROR(K271,0)+IFERROR(L271,0),0))</f>
        <v/>
      </c>
    </row>
    <row r="272">
      <c r="A272" s="10" t="n"/>
      <c r="B272" s="10" t="n"/>
      <c r="C272" s="11" t="n"/>
      <c r="D272" s="11" t="n"/>
      <c r="E272" s="10" t="n"/>
      <c r="F272" s="10" t="n"/>
      <c r="G272" s="12" t="n"/>
      <c r="H272" s="13" t="n"/>
      <c r="I272" s="13" t="n"/>
      <c r="J272" s="13" t="n"/>
      <c r="K272" s="13" t="n"/>
      <c r="L272" s="13" t="n"/>
      <c r="M272" s="14">
        <f>IFERROR(IF(A272="","",IFERROR(VLOOKUP(A272,Raw_PriorMonth!A:E,5,FALSE),0)),0)</f>
        <v/>
      </c>
      <c r="N272" s="14">
        <f>IF(A272="","",IFERROR(E272,0)+IFERROR(M272,0))</f>
        <v/>
      </c>
      <c r="O272" s="15">
        <f>IF(A272="","",IF(N272&gt;=28,TRUE,FALSE))</f>
        <v/>
      </c>
      <c r="P272" s="15">
        <f>IF(A272="","",OR(G272=TRUE,O272=TRUE))</f>
        <v/>
      </c>
      <c r="Q272" s="16">
        <f>IF(A272="","",IFERROR(H272,0)+IFERROR(I272,0)+IFERROR(J272,0)+IFERROR(K272,0)+IFERROR(L272,0))</f>
        <v/>
      </c>
      <c r="R272" s="16">
        <f>IF(A272="","",IF(P272=TRUE,0,Q272))</f>
        <v/>
      </c>
      <c r="S272" s="16">
        <f>IF(A272="","",IF(P272=TRUE,0,IFERROR(H272,0)))</f>
        <v/>
      </c>
      <c r="T272" s="16">
        <f>IF(A272="","",IF(P272=TRUE,0,IFERROR(I272,0)))</f>
        <v/>
      </c>
      <c r="U272" s="16">
        <f>IF(A272="","",IF(P272=TRUE,0,IFERROR(J272,0)))</f>
        <v/>
      </c>
      <c r="V272" s="16">
        <f>IF(A272="","",IF(P272=TRUE,0,IFERROR(K272,0)))</f>
        <v/>
      </c>
      <c r="W272" s="16">
        <f>IF(A272="","",IF(P272=TRUE,0,IFERROR(L272,0)))</f>
        <v/>
      </c>
      <c r="X272" s="16">
        <f>IF(A272="","",IF(P272=TRUE,0,IFERROR(H272,0)+IFERROR(I272,0)+IFERROR(L272,0)))</f>
        <v/>
      </c>
      <c r="Y272" s="16">
        <f>IF(A272="",0,IF(G272=TRUE,IFERROR(H272,0)+IFERROR(I272,0)+IFERROR(J272,0)+IFERROR(K272,0)+IFERROR(L272,0),0))</f>
        <v/>
      </c>
      <c r="Z272" s="16">
        <f>IF(A272="",0,IF(AND(O272=TRUE,G272&lt;&gt;TRUE),IFERROR(H272,0)+IFERROR(I272,0)+IFERROR(J272,0)+IFERROR(K272,0)+IFERROR(L272,0),0))</f>
        <v/>
      </c>
    </row>
    <row r="273">
      <c r="A273" s="10" t="n"/>
      <c r="B273" s="10" t="n"/>
      <c r="C273" s="11" t="n"/>
      <c r="D273" s="11" t="n"/>
      <c r="E273" s="10" t="n"/>
      <c r="F273" s="10" t="n"/>
      <c r="G273" s="12" t="n"/>
      <c r="H273" s="13" t="n"/>
      <c r="I273" s="13" t="n"/>
      <c r="J273" s="13" t="n"/>
      <c r="K273" s="13" t="n"/>
      <c r="L273" s="13" t="n"/>
      <c r="M273" s="14">
        <f>IFERROR(IF(A273="","",IFERROR(VLOOKUP(A273,Raw_PriorMonth!A:E,5,FALSE),0)),0)</f>
        <v/>
      </c>
      <c r="N273" s="14">
        <f>IF(A273="","",IFERROR(E273,0)+IFERROR(M273,0))</f>
        <v/>
      </c>
      <c r="O273" s="15">
        <f>IF(A273="","",IF(N273&gt;=28,TRUE,FALSE))</f>
        <v/>
      </c>
      <c r="P273" s="15">
        <f>IF(A273="","",OR(G273=TRUE,O273=TRUE))</f>
        <v/>
      </c>
      <c r="Q273" s="16">
        <f>IF(A273="","",IFERROR(H273,0)+IFERROR(I273,0)+IFERROR(J273,0)+IFERROR(K273,0)+IFERROR(L273,0))</f>
        <v/>
      </c>
      <c r="R273" s="16">
        <f>IF(A273="","",IF(P273=TRUE,0,Q273))</f>
        <v/>
      </c>
      <c r="S273" s="16">
        <f>IF(A273="","",IF(P273=TRUE,0,IFERROR(H273,0)))</f>
        <v/>
      </c>
      <c r="T273" s="16">
        <f>IF(A273="","",IF(P273=TRUE,0,IFERROR(I273,0)))</f>
        <v/>
      </c>
      <c r="U273" s="16">
        <f>IF(A273="","",IF(P273=TRUE,0,IFERROR(J273,0)))</f>
        <v/>
      </c>
      <c r="V273" s="16">
        <f>IF(A273="","",IF(P273=TRUE,0,IFERROR(K273,0)))</f>
        <v/>
      </c>
      <c r="W273" s="16">
        <f>IF(A273="","",IF(P273=TRUE,0,IFERROR(L273,0)))</f>
        <v/>
      </c>
      <c r="X273" s="16">
        <f>IF(A273="","",IF(P273=TRUE,0,IFERROR(H273,0)+IFERROR(I273,0)+IFERROR(L273,0)))</f>
        <v/>
      </c>
      <c r="Y273" s="16">
        <f>IF(A273="",0,IF(G273=TRUE,IFERROR(H273,0)+IFERROR(I273,0)+IFERROR(J273,0)+IFERROR(K273,0)+IFERROR(L273,0),0))</f>
        <v/>
      </c>
      <c r="Z273" s="16">
        <f>IF(A273="",0,IF(AND(O273=TRUE,G273&lt;&gt;TRUE),IFERROR(H273,0)+IFERROR(I273,0)+IFERROR(J273,0)+IFERROR(K273,0)+IFERROR(L273,0),0))</f>
        <v/>
      </c>
    </row>
    <row r="274">
      <c r="A274" s="10" t="n"/>
      <c r="B274" s="10" t="n"/>
      <c r="C274" s="11" t="n"/>
      <c r="D274" s="11" t="n"/>
      <c r="E274" s="10" t="n"/>
      <c r="F274" s="10" t="n"/>
      <c r="G274" s="12" t="n"/>
      <c r="H274" s="13" t="n"/>
      <c r="I274" s="13" t="n"/>
      <c r="J274" s="13" t="n"/>
      <c r="K274" s="13" t="n"/>
      <c r="L274" s="13" t="n"/>
      <c r="M274" s="14">
        <f>IFERROR(IF(A274="","",IFERROR(VLOOKUP(A274,Raw_PriorMonth!A:E,5,FALSE),0)),0)</f>
        <v/>
      </c>
      <c r="N274" s="14">
        <f>IF(A274="","",IFERROR(E274,0)+IFERROR(M274,0))</f>
        <v/>
      </c>
      <c r="O274" s="15">
        <f>IF(A274="","",IF(N274&gt;=28,TRUE,FALSE))</f>
        <v/>
      </c>
      <c r="P274" s="15">
        <f>IF(A274="","",OR(G274=TRUE,O274=TRUE))</f>
        <v/>
      </c>
      <c r="Q274" s="16">
        <f>IF(A274="","",IFERROR(H274,0)+IFERROR(I274,0)+IFERROR(J274,0)+IFERROR(K274,0)+IFERROR(L274,0))</f>
        <v/>
      </c>
      <c r="R274" s="16">
        <f>IF(A274="","",IF(P274=TRUE,0,Q274))</f>
        <v/>
      </c>
      <c r="S274" s="16">
        <f>IF(A274="","",IF(P274=TRUE,0,IFERROR(H274,0)))</f>
        <v/>
      </c>
      <c r="T274" s="16">
        <f>IF(A274="","",IF(P274=TRUE,0,IFERROR(I274,0)))</f>
        <v/>
      </c>
      <c r="U274" s="16">
        <f>IF(A274="","",IF(P274=TRUE,0,IFERROR(J274,0)))</f>
        <v/>
      </c>
      <c r="V274" s="16">
        <f>IF(A274="","",IF(P274=TRUE,0,IFERROR(K274,0)))</f>
        <v/>
      </c>
      <c r="W274" s="16">
        <f>IF(A274="","",IF(P274=TRUE,0,IFERROR(L274,0)))</f>
        <v/>
      </c>
      <c r="X274" s="16">
        <f>IF(A274="","",IF(P274=TRUE,0,IFERROR(H274,0)+IFERROR(I274,0)+IFERROR(L274,0)))</f>
        <v/>
      </c>
      <c r="Y274" s="16">
        <f>IF(A274="",0,IF(G274=TRUE,IFERROR(H274,0)+IFERROR(I274,0)+IFERROR(J274,0)+IFERROR(K274,0)+IFERROR(L274,0),0))</f>
        <v/>
      </c>
      <c r="Z274" s="16">
        <f>IF(A274="",0,IF(AND(O274=TRUE,G274&lt;&gt;TRUE),IFERROR(H274,0)+IFERROR(I274,0)+IFERROR(J274,0)+IFERROR(K274,0)+IFERROR(L274,0),0))</f>
        <v/>
      </c>
    </row>
    <row r="275">
      <c r="A275" s="10" t="n"/>
      <c r="B275" s="10" t="n"/>
      <c r="C275" s="11" t="n"/>
      <c r="D275" s="11" t="n"/>
      <c r="E275" s="10" t="n"/>
      <c r="F275" s="10" t="n"/>
      <c r="G275" s="12" t="n"/>
      <c r="H275" s="13" t="n"/>
      <c r="I275" s="13" t="n"/>
      <c r="J275" s="13" t="n"/>
      <c r="K275" s="13" t="n"/>
      <c r="L275" s="13" t="n"/>
      <c r="M275" s="14">
        <f>IFERROR(IF(A275="","",IFERROR(VLOOKUP(A275,Raw_PriorMonth!A:E,5,FALSE),0)),0)</f>
        <v/>
      </c>
      <c r="N275" s="14">
        <f>IF(A275="","",IFERROR(E275,0)+IFERROR(M275,0))</f>
        <v/>
      </c>
      <c r="O275" s="15">
        <f>IF(A275="","",IF(N275&gt;=28,TRUE,FALSE))</f>
        <v/>
      </c>
      <c r="P275" s="15">
        <f>IF(A275="","",OR(G275=TRUE,O275=TRUE))</f>
        <v/>
      </c>
      <c r="Q275" s="16">
        <f>IF(A275="","",IFERROR(H275,0)+IFERROR(I275,0)+IFERROR(J275,0)+IFERROR(K275,0)+IFERROR(L275,0))</f>
        <v/>
      </c>
      <c r="R275" s="16">
        <f>IF(A275="","",IF(P275=TRUE,0,Q275))</f>
        <v/>
      </c>
      <c r="S275" s="16">
        <f>IF(A275="","",IF(P275=TRUE,0,IFERROR(H275,0)))</f>
        <v/>
      </c>
      <c r="T275" s="16">
        <f>IF(A275="","",IF(P275=TRUE,0,IFERROR(I275,0)))</f>
        <v/>
      </c>
      <c r="U275" s="16">
        <f>IF(A275="","",IF(P275=TRUE,0,IFERROR(J275,0)))</f>
        <v/>
      </c>
      <c r="V275" s="16">
        <f>IF(A275="","",IF(P275=TRUE,0,IFERROR(K275,0)))</f>
        <v/>
      </c>
      <c r="W275" s="16">
        <f>IF(A275="","",IF(P275=TRUE,0,IFERROR(L275,0)))</f>
        <v/>
      </c>
      <c r="X275" s="16">
        <f>IF(A275="","",IF(P275=TRUE,0,IFERROR(H275,0)+IFERROR(I275,0)+IFERROR(L275,0)))</f>
        <v/>
      </c>
      <c r="Y275" s="16">
        <f>IF(A275="",0,IF(G275=TRUE,IFERROR(H275,0)+IFERROR(I275,0)+IFERROR(J275,0)+IFERROR(K275,0)+IFERROR(L275,0),0))</f>
        <v/>
      </c>
      <c r="Z275" s="16">
        <f>IF(A275="",0,IF(AND(O275=TRUE,G275&lt;&gt;TRUE),IFERROR(H275,0)+IFERROR(I275,0)+IFERROR(J275,0)+IFERROR(K275,0)+IFERROR(L275,0),0))</f>
        <v/>
      </c>
    </row>
    <row r="276">
      <c r="A276" s="10" t="n"/>
      <c r="B276" s="10" t="n"/>
      <c r="C276" s="11" t="n"/>
      <c r="D276" s="11" t="n"/>
      <c r="E276" s="10" t="n"/>
      <c r="F276" s="10" t="n"/>
      <c r="G276" s="12" t="n"/>
      <c r="H276" s="13" t="n"/>
      <c r="I276" s="13" t="n"/>
      <c r="J276" s="13" t="n"/>
      <c r="K276" s="13" t="n"/>
      <c r="L276" s="13" t="n"/>
      <c r="M276" s="14">
        <f>IFERROR(IF(A276="","",IFERROR(VLOOKUP(A276,Raw_PriorMonth!A:E,5,FALSE),0)),0)</f>
        <v/>
      </c>
      <c r="N276" s="14">
        <f>IF(A276="","",IFERROR(E276,0)+IFERROR(M276,0))</f>
        <v/>
      </c>
      <c r="O276" s="15">
        <f>IF(A276="","",IF(N276&gt;=28,TRUE,FALSE))</f>
        <v/>
      </c>
      <c r="P276" s="15">
        <f>IF(A276="","",OR(G276=TRUE,O276=TRUE))</f>
        <v/>
      </c>
      <c r="Q276" s="16">
        <f>IF(A276="","",IFERROR(H276,0)+IFERROR(I276,0)+IFERROR(J276,0)+IFERROR(K276,0)+IFERROR(L276,0))</f>
        <v/>
      </c>
      <c r="R276" s="16">
        <f>IF(A276="","",IF(P276=TRUE,0,Q276))</f>
        <v/>
      </c>
      <c r="S276" s="16">
        <f>IF(A276="","",IF(P276=TRUE,0,IFERROR(H276,0)))</f>
        <v/>
      </c>
      <c r="T276" s="16">
        <f>IF(A276="","",IF(P276=TRUE,0,IFERROR(I276,0)))</f>
        <v/>
      </c>
      <c r="U276" s="16">
        <f>IF(A276="","",IF(P276=TRUE,0,IFERROR(J276,0)))</f>
        <v/>
      </c>
      <c r="V276" s="16">
        <f>IF(A276="","",IF(P276=TRUE,0,IFERROR(K276,0)))</f>
        <v/>
      </c>
      <c r="W276" s="16">
        <f>IF(A276="","",IF(P276=TRUE,0,IFERROR(L276,0)))</f>
        <v/>
      </c>
      <c r="X276" s="16">
        <f>IF(A276="","",IF(P276=TRUE,0,IFERROR(H276,0)+IFERROR(I276,0)+IFERROR(L276,0)))</f>
        <v/>
      </c>
      <c r="Y276" s="16">
        <f>IF(A276="",0,IF(G276=TRUE,IFERROR(H276,0)+IFERROR(I276,0)+IFERROR(J276,0)+IFERROR(K276,0)+IFERROR(L276,0),0))</f>
        <v/>
      </c>
      <c r="Z276" s="16">
        <f>IF(A276="",0,IF(AND(O276=TRUE,G276&lt;&gt;TRUE),IFERROR(H276,0)+IFERROR(I276,0)+IFERROR(J276,0)+IFERROR(K276,0)+IFERROR(L276,0),0))</f>
        <v/>
      </c>
    </row>
    <row r="277">
      <c r="A277" s="10" t="n"/>
      <c r="B277" s="10" t="n"/>
      <c r="C277" s="11" t="n"/>
      <c r="D277" s="11" t="n"/>
      <c r="E277" s="10" t="n"/>
      <c r="F277" s="10" t="n"/>
      <c r="G277" s="12" t="n"/>
      <c r="H277" s="13" t="n"/>
      <c r="I277" s="13" t="n"/>
      <c r="J277" s="13" t="n"/>
      <c r="K277" s="13" t="n"/>
      <c r="L277" s="13" t="n"/>
      <c r="M277" s="14">
        <f>IFERROR(IF(A277="","",IFERROR(VLOOKUP(A277,Raw_PriorMonth!A:E,5,FALSE),0)),0)</f>
        <v/>
      </c>
      <c r="N277" s="14">
        <f>IF(A277="","",IFERROR(E277,0)+IFERROR(M277,0))</f>
        <v/>
      </c>
      <c r="O277" s="15">
        <f>IF(A277="","",IF(N277&gt;=28,TRUE,FALSE))</f>
        <v/>
      </c>
      <c r="P277" s="15">
        <f>IF(A277="","",OR(G277=TRUE,O277=TRUE))</f>
        <v/>
      </c>
      <c r="Q277" s="16">
        <f>IF(A277="","",IFERROR(H277,0)+IFERROR(I277,0)+IFERROR(J277,0)+IFERROR(K277,0)+IFERROR(L277,0))</f>
        <v/>
      </c>
      <c r="R277" s="16">
        <f>IF(A277="","",IF(P277=TRUE,0,Q277))</f>
        <v/>
      </c>
      <c r="S277" s="16">
        <f>IF(A277="","",IF(P277=TRUE,0,IFERROR(H277,0)))</f>
        <v/>
      </c>
      <c r="T277" s="16">
        <f>IF(A277="","",IF(P277=TRUE,0,IFERROR(I277,0)))</f>
        <v/>
      </c>
      <c r="U277" s="16">
        <f>IF(A277="","",IF(P277=TRUE,0,IFERROR(J277,0)))</f>
        <v/>
      </c>
      <c r="V277" s="16">
        <f>IF(A277="","",IF(P277=TRUE,0,IFERROR(K277,0)))</f>
        <v/>
      </c>
      <c r="W277" s="16">
        <f>IF(A277="","",IF(P277=TRUE,0,IFERROR(L277,0)))</f>
        <v/>
      </c>
      <c r="X277" s="16">
        <f>IF(A277="","",IF(P277=TRUE,0,IFERROR(H277,0)+IFERROR(I277,0)+IFERROR(L277,0)))</f>
        <v/>
      </c>
      <c r="Y277" s="16">
        <f>IF(A277="",0,IF(G277=TRUE,IFERROR(H277,0)+IFERROR(I277,0)+IFERROR(J277,0)+IFERROR(K277,0)+IFERROR(L277,0),0))</f>
        <v/>
      </c>
      <c r="Z277" s="16">
        <f>IF(A277="",0,IF(AND(O277=TRUE,G277&lt;&gt;TRUE),IFERROR(H277,0)+IFERROR(I277,0)+IFERROR(J277,0)+IFERROR(K277,0)+IFERROR(L277,0),0))</f>
        <v/>
      </c>
    </row>
    <row r="278">
      <c r="A278" s="10" t="n"/>
      <c r="B278" s="10" t="n"/>
      <c r="C278" s="11" t="n"/>
      <c r="D278" s="11" t="n"/>
      <c r="E278" s="10" t="n"/>
      <c r="F278" s="10" t="n"/>
      <c r="G278" s="12" t="n"/>
      <c r="H278" s="13" t="n"/>
      <c r="I278" s="13" t="n"/>
      <c r="J278" s="13" t="n"/>
      <c r="K278" s="13" t="n"/>
      <c r="L278" s="13" t="n"/>
      <c r="M278" s="14">
        <f>IFERROR(IF(A278="","",IFERROR(VLOOKUP(A278,Raw_PriorMonth!A:E,5,FALSE),0)),0)</f>
        <v/>
      </c>
      <c r="N278" s="14">
        <f>IF(A278="","",IFERROR(E278,0)+IFERROR(M278,0))</f>
        <v/>
      </c>
      <c r="O278" s="15">
        <f>IF(A278="","",IF(N278&gt;=28,TRUE,FALSE))</f>
        <v/>
      </c>
      <c r="P278" s="15">
        <f>IF(A278="","",OR(G278=TRUE,O278=TRUE))</f>
        <v/>
      </c>
      <c r="Q278" s="16">
        <f>IF(A278="","",IFERROR(H278,0)+IFERROR(I278,0)+IFERROR(J278,0)+IFERROR(K278,0)+IFERROR(L278,0))</f>
        <v/>
      </c>
      <c r="R278" s="16">
        <f>IF(A278="","",IF(P278=TRUE,0,Q278))</f>
        <v/>
      </c>
      <c r="S278" s="16">
        <f>IF(A278="","",IF(P278=TRUE,0,IFERROR(H278,0)))</f>
        <v/>
      </c>
      <c r="T278" s="16">
        <f>IF(A278="","",IF(P278=TRUE,0,IFERROR(I278,0)))</f>
        <v/>
      </c>
      <c r="U278" s="16">
        <f>IF(A278="","",IF(P278=TRUE,0,IFERROR(J278,0)))</f>
        <v/>
      </c>
      <c r="V278" s="16">
        <f>IF(A278="","",IF(P278=TRUE,0,IFERROR(K278,0)))</f>
        <v/>
      </c>
      <c r="W278" s="16">
        <f>IF(A278="","",IF(P278=TRUE,0,IFERROR(L278,0)))</f>
        <v/>
      </c>
      <c r="X278" s="16">
        <f>IF(A278="","",IF(P278=TRUE,0,IFERROR(H278,0)+IFERROR(I278,0)+IFERROR(L278,0)))</f>
        <v/>
      </c>
      <c r="Y278" s="16">
        <f>IF(A278="",0,IF(G278=TRUE,IFERROR(H278,0)+IFERROR(I278,0)+IFERROR(J278,0)+IFERROR(K278,0)+IFERROR(L278,0),0))</f>
        <v/>
      </c>
      <c r="Z278" s="16">
        <f>IF(A278="",0,IF(AND(O278=TRUE,G278&lt;&gt;TRUE),IFERROR(H278,0)+IFERROR(I278,0)+IFERROR(J278,0)+IFERROR(K278,0)+IFERROR(L278,0),0))</f>
        <v/>
      </c>
    </row>
    <row r="279">
      <c r="A279" s="10" t="n"/>
      <c r="B279" s="10" t="n"/>
      <c r="C279" s="11" t="n"/>
      <c r="D279" s="11" t="n"/>
      <c r="E279" s="10" t="n"/>
      <c r="F279" s="10" t="n"/>
      <c r="G279" s="12" t="n"/>
      <c r="H279" s="13" t="n"/>
      <c r="I279" s="13" t="n"/>
      <c r="J279" s="13" t="n"/>
      <c r="K279" s="13" t="n"/>
      <c r="L279" s="13" t="n"/>
      <c r="M279" s="14">
        <f>IFERROR(IF(A279="","",IFERROR(VLOOKUP(A279,Raw_PriorMonth!A:E,5,FALSE),0)),0)</f>
        <v/>
      </c>
      <c r="N279" s="14">
        <f>IF(A279="","",IFERROR(E279,0)+IFERROR(M279,0))</f>
        <v/>
      </c>
      <c r="O279" s="15">
        <f>IF(A279="","",IF(N279&gt;=28,TRUE,FALSE))</f>
        <v/>
      </c>
      <c r="P279" s="15">
        <f>IF(A279="","",OR(G279=TRUE,O279=TRUE))</f>
        <v/>
      </c>
      <c r="Q279" s="16">
        <f>IF(A279="","",IFERROR(H279,0)+IFERROR(I279,0)+IFERROR(J279,0)+IFERROR(K279,0)+IFERROR(L279,0))</f>
        <v/>
      </c>
      <c r="R279" s="16">
        <f>IF(A279="","",IF(P279=TRUE,0,Q279))</f>
        <v/>
      </c>
      <c r="S279" s="16">
        <f>IF(A279="","",IF(P279=TRUE,0,IFERROR(H279,0)))</f>
        <v/>
      </c>
      <c r="T279" s="16">
        <f>IF(A279="","",IF(P279=TRUE,0,IFERROR(I279,0)))</f>
        <v/>
      </c>
      <c r="U279" s="16">
        <f>IF(A279="","",IF(P279=TRUE,0,IFERROR(J279,0)))</f>
        <v/>
      </c>
      <c r="V279" s="16">
        <f>IF(A279="","",IF(P279=TRUE,0,IFERROR(K279,0)))</f>
        <v/>
      </c>
      <c r="W279" s="16">
        <f>IF(A279="","",IF(P279=TRUE,0,IFERROR(L279,0)))</f>
        <v/>
      </c>
      <c r="X279" s="16">
        <f>IF(A279="","",IF(P279=TRUE,0,IFERROR(H279,0)+IFERROR(I279,0)+IFERROR(L279,0)))</f>
        <v/>
      </c>
      <c r="Y279" s="16">
        <f>IF(A279="",0,IF(G279=TRUE,IFERROR(H279,0)+IFERROR(I279,0)+IFERROR(J279,0)+IFERROR(K279,0)+IFERROR(L279,0),0))</f>
        <v/>
      </c>
      <c r="Z279" s="16">
        <f>IF(A279="",0,IF(AND(O279=TRUE,G279&lt;&gt;TRUE),IFERROR(H279,0)+IFERROR(I279,0)+IFERROR(J279,0)+IFERROR(K279,0)+IFERROR(L279,0),0))</f>
        <v/>
      </c>
    </row>
    <row r="280">
      <c r="A280" s="10" t="n"/>
      <c r="B280" s="10" t="n"/>
      <c r="C280" s="11" t="n"/>
      <c r="D280" s="11" t="n"/>
      <c r="E280" s="10" t="n"/>
      <c r="F280" s="10" t="n"/>
      <c r="G280" s="12" t="n"/>
      <c r="H280" s="13" t="n"/>
      <c r="I280" s="13" t="n"/>
      <c r="J280" s="13" t="n"/>
      <c r="K280" s="13" t="n"/>
      <c r="L280" s="13" t="n"/>
      <c r="M280" s="14">
        <f>IFERROR(IF(A280="","",IFERROR(VLOOKUP(A280,Raw_PriorMonth!A:E,5,FALSE),0)),0)</f>
        <v/>
      </c>
      <c r="N280" s="14">
        <f>IF(A280="","",IFERROR(E280,0)+IFERROR(M280,0))</f>
        <v/>
      </c>
      <c r="O280" s="15">
        <f>IF(A280="","",IF(N280&gt;=28,TRUE,FALSE))</f>
        <v/>
      </c>
      <c r="P280" s="15">
        <f>IF(A280="","",OR(G280=TRUE,O280=TRUE))</f>
        <v/>
      </c>
      <c r="Q280" s="16">
        <f>IF(A280="","",IFERROR(H280,0)+IFERROR(I280,0)+IFERROR(J280,0)+IFERROR(K280,0)+IFERROR(L280,0))</f>
        <v/>
      </c>
      <c r="R280" s="16">
        <f>IF(A280="","",IF(P280=TRUE,0,Q280))</f>
        <v/>
      </c>
      <c r="S280" s="16">
        <f>IF(A280="","",IF(P280=TRUE,0,IFERROR(H280,0)))</f>
        <v/>
      </c>
      <c r="T280" s="16">
        <f>IF(A280="","",IF(P280=TRUE,0,IFERROR(I280,0)))</f>
        <v/>
      </c>
      <c r="U280" s="16">
        <f>IF(A280="","",IF(P280=TRUE,0,IFERROR(J280,0)))</f>
        <v/>
      </c>
      <c r="V280" s="16">
        <f>IF(A280="","",IF(P280=TRUE,0,IFERROR(K280,0)))</f>
        <v/>
      </c>
      <c r="W280" s="16">
        <f>IF(A280="","",IF(P280=TRUE,0,IFERROR(L280,0)))</f>
        <v/>
      </c>
      <c r="X280" s="16">
        <f>IF(A280="","",IF(P280=TRUE,0,IFERROR(H280,0)+IFERROR(I280,0)+IFERROR(L280,0)))</f>
        <v/>
      </c>
      <c r="Y280" s="16">
        <f>IF(A280="",0,IF(G280=TRUE,IFERROR(H280,0)+IFERROR(I280,0)+IFERROR(J280,0)+IFERROR(K280,0)+IFERROR(L280,0),0))</f>
        <v/>
      </c>
      <c r="Z280" s="16">
        <f>IF(A280="",0,IF(AND(O280=TRUE,G280&lt;&gt;TRUE),IFERROR(H280,0)+IFERROR(I280,0)+IFERROR(J280,0)+IFERROR(K280,0)+IFERROR(L280,0),0))</f>
        <v/>
      </c>
    </row>
    <row r="281">
      <c r="A281" s="10" t="n"/>
      <c r="B281" s="10" t="n"/>
      <c r="C281" s="11" t="n"/>
      <c r="D281" s="11" t="n"/>
      <c r="E281" s="10" t="n"/>
      <c r="F281" s="10" t="n"/>
      <c r="G281" s="12" t="n"/>
      <c r="H281" s="13" t="n"/>
      <c r="I281" s="13" t="n"/>
      <c r="J281" s="13" t="n"/>
      <c r="K281" s="13" t="n"/>
      <c r="L281" s="13" t="n"/>
      <c r="M281" s="14">
        <f>IFERROR(IF(A281="","",IFERROR(VLOOKUP(A281,Raw_PriorMonth!A:E,5,FALSE),0)),0)</f>
        <v/>
      </c>
      <c r="N281" s="14">
        <f>IF(A281="","",IFERROR(E281,0)+IFERROR(M281,0))</f>
        <v/>
      </c>
      <c r="O281" s="15">
        <f>IF(A281="","",IF(N281&gt;=28,TRUE,FALSE))</f>
        <v/>
      </c>
      <c r="P281" s="15">
        <f>IF(A281="","",OR(G281=TRUE,O281=TRUE))</f>
        <v/>
      </c>
      <c r="Q281" s="16">
        <f>IF(A281="","",IFERROR(H281,0)+IFERROR(I281,0)+IFERROR(J281,0)+IFERROR(K281,0)+IFERROR(L281,0))</f>
        <v/>
      </c>
      <c r="R281" s="16">
        <f>IF(A281="","",IF(P281=TRUE,0,Q281))</f>
        <v/>
      </c>
      <c r="S281" s="16">
        <f>IF(A281="","",IF(P281=TRUE,0,IFERROR(H281,0)))</f>
        <v/>
      </c>
      <c r="T281" s="16">
        <f>IF(A281="","",IF(P281=TRUE,0,IFERROR(I281,0)))</f>
        <v/>
      </c>
      <c r="U281" s="16">
        <f>IF(A281="","",IF(P281=TRUE,0,IFERROR(J281,0)))</f>
        <v/>
      </c>
      <c r="V281" s="16">
        <f>IF(A281="","",IF(P281=TRUE,0,IFERROR(K281,0)))</f>
        <v/>
      </c>
      <c r="W281" s="16">
        <f>IF(A281="","",IF(P281=TRUE,0,IFERROR(L281,0)))</f>
        <v/>
      </c>
      <c r="X281" s="16">
        <f>IF(A281="","",IF(P281=TRUE,0,IFERROR(H281,0)+IFERROR(I281,0)+IFERROR(L281,0)))</f>
        <v/>
      </c>
      <c r="Y281" s="16">
        <f>IF(A281="",0,IF(G281=TRUE,IFERROR(H281,0)+IFERROR(I281,0)+IFERROR(J281,0)+IFERROR(K281,0)+IFERROR(L281,0),0))</f>
        <v/>
      </c>
      <c r="Z281" s="16">
        <f>IF(A281="",0,IF(AND(O281=TRUE,G281&lt;&gt;TRUE),IFERROR(H281,0)+IFERROR(I281,0)+IFERROR(J281,0)+IFERROR(K281,0)+IFERROR(L281,0),0))</f>
        <v/>
      </c>
    </row>
    <row r="282">
      <c r="A282" s="10" t="n"/>
      <c r="B282" s="10" t="n"/>
      <c r="C282" s="11" t="n"/>
      <c r="D282" s="11" t="n"/>
      <c r="E282" s="10" t="n"/>
      <c r="F282" s="10" t="n"/>
      <c r="G282" s="12" t="n"/>
      <c r="H282" s="13" t="n"/>
      <c r="I282" s="13" t="n"/>
      <c r="J282" s="13" t="n"/>
      <c r="K282" s="13" t="n"/>
      <c r="L282" s="13" t="n"/>
      <c r="M282" s="14">
        <f>IFERROR(IF(A282="","",IFERROR(VLOOKUP(A282,Raw_PriorMonth!A:E,5,FALSE),0)),0)</f>
        <v/>
      </c>
      <c r="N282" s="14">
        <f>IF(A282="","",IFERROR(E282,0)+IFERROR(M282,0))</f>
        <v/>
      </c>
      <c r="O282" s="15">
        <f>IF(A282="","",IF(N282&gt;=28,TRUE,FALSE))</f>
        <v/>
      </c>
      <c r="P282" s="15">
        <f>IF(A282="","",OR(G282=TRUE,O282=TRUE))</f>
        <v/>
      </c>
      <c r="Q282" s="16">
        <f>IF(A282="","",IFERROR(H282,0)+IFERROR(I282,0)+IFERROR(J282,0)+IFERROR(K282,0)+IFERROR(L282,0))</f>
        <v/>
      </c>
      <c r="R282" s="16">
        <f>IF(A282="","",IF(P282=TRUE,0,Q282))</f>
        <v/>
      </c>
      <c r="S282" s="16">
        <f>IF(A282="","",IF(P282=TRUE,0,IFERROR(H282,0)))</f>
        <v/>
      </c>
      <c r="T282" s="16">
        <f>IF(A282="","",IF(P282=TRUE,0,IFERROR(I282,0)))</f>
        <v/>
      </c>
      <c r="U282" s="16">
        <f>IF(A282="","",IF(P282=TRUE,0,IFERROR(J282,0)))</f>
        <v/>
      </c>
      <c r="V282" s="16">
        <f>IF(A282="","",IF(P282=TRUE,0,IFERROR(K282,0)))</f>
        <v/>
      </c>
      <c r="W282" s="16">
        <f>IF(A282="","",IF(P282=TRUE,0,IFERROR(L282,0)))</f>
        <v/>
      </c>
      <c r="X282" s="16">
        <f>IF(A282="","",IF(P282=TRUE,0,IFERROR(H282,0)+IFERROR(I282,0)+IFERROR(L282,0)))</f>
        <v/>
      </c>
      <c r="Y282" s="16">
        <f>IF(A282="",0,IF(G282=TRUE,IFERROR(H282,0)+IFERROR(I282,0)+IFERROR(J282,0)+IFERROR(K282,0)+IFERROR(L282,0),0))</f>
        <v/>
      </c>
      <c r="Z282" s="16">
        <f>IF(A282="",0,IF(AND(O282=TRUE,G282&lt;&gt;TRUE),IFERROR(H282,0)+IFERROR(I282,0)+IFERROR(J282,0)+IFERROR(K282,0)+IFERROR(L282,0),0))</f>
        <v/>
      </c>
    </row>
    <row r="283">
      <c r="A283" s="10" t="n"/>
      <c r="B283" s="10" t="n"/>
      <c r="C283" s="11" t="n"/>
      <c r="D283" s="11" t="n"/>
      <c r="E283" s="10" t="n"/>
      <c r="F283" s="10" t="n"/>
      <c r="G283" s="12" t="n"/>
      <c r="H283" s="13" t="n"/>
      <c r="I283" s="13" t="n"/>
      <c r="J283" s="13" t="n"/>
      <c r="K283" s="13" t="n"/>
      <c r="L283" s="13" t="n"/>
      <c r="M283" s="14">
        <f>IFERROR(IF(A283="","",IFERROR(VLOOKUP(A283,Raw_PriorMonth!A:E,5,FALSE),0)),0)</f>
        <v/>
      </c>
      <c r="N283" s="14">
        <f>IF(A283="","",IFERROR(E283,0)+IFERROR(M283,0))</f>
        <v/>
      </c>
      <c r="O283" s="15">
        <f>IF(A283="","",IF(N283&gt;=28,TRUE,FALSE))</f>
        <v/>
      </c>
      <c r="P283" s="15">
        <f>IF(A283="","",OR(G283=TRUE,O283=TRUE))</f>
        <v/>
      </c>
      <c r="Q283" s="16">
        <f>IF(A283="","",IFERROR(H283,0)+IFERROR(I283,0)+IFERROR(J283,0)+IFERROR(K283,0)+IFERROR(L283,0))</f>
        <v/>
      </c>
      <c r="R283" s="16">
        <f>IF(A283="","",IF(P283=TRUE,0,Q283))</f>
        <v/>
      </c>
      <c r="S283" s="16">
        <f>IF(A283="","",IF(P283=TRUE,0,IFERROR(H283,0)))</f>
        <v/>
      </c>
      <c r="T283" s="16">
        <f>IF(A283="","",IF(P283=TRUE,0,IFERROR(I283,0)))</f>
        <v/>
      </c>
      <c r="U283" s="16">
        <f>IF(A283="","",IF(P283=TRUE,0,IFERROR(J283,0)))</f>
        <v/>
      </c>
      <c r="V283" s="16">
        <f>IF(A283="","",IF(P283=TRUE,0,IFERROR(K283,0)))</f>
        <v/>
      </c>
      <c r="W283" s="16">
        <f>IF(A283="","",IF(P283=TRUE,0,IFERROR(L283,0)))</f>
        <v/>
      </c>
      <c r="X283" s="16">
        <f>IF(A283="","",IF(P283=TRUE,0,IFERROR(H283,0)+IFERROR(I283,0)+IFERROR(L283,0)))</f>
        <v/>
      </c>
      <c r="Y283" s="16">
        <f>IF(A283="",0,IF(G283=TRUE,IFERROR(H283,0)+IFERROR(I283,0)+IFERROR(J283,0)+IFERROR(K283,0)+IFERROR(L283,0),0))</f>
        <v/>
      </c>
      <c r="Z283" s="16">
        <f>IF(A283="",0,IF(AND(O283=TRUE,G283&lt;&gt;TRUE),IFERROR(H283,0)+IFERROR(I283,0)+IFERROR(J283,0)+IFERROR(K283,0)+IFERROR(L283,0),0))</f>
        <v/>
      </c>
    </row>
    <row r="284">
      <c r="A284" s="10" t="n"/>
      <c r="B284" s="10" t="n"/>
      <c r="C284" s="11" t="n"/>
      <c r="D284" s="11" t="n"/>
      <c r="E284" s="10" t="n"/>
      <c r="F284" s="10" t="n"/>
      <c r="G284" s="12" t="n"/>
      <c r="H284" s="13" t="n"/>
      <c r="I284" s="13" t="n"/>
      <c r="J284" s="13" t="n"/>
      <c r="K284" s="13" t="n"/>
      <c r="L284" s="13" t="n"/>
      <c r="M284" s="14">
        <f>IFERROR(IF(A284="","",IFERROR(VLOOKUP(A284,Raw_PriorMonth!A:E,5,FALSE),0)),0)</f>
        <v/>
      </c>
      <c r="N284" s="14">
        <f>IF(A284="","",IFERROR(E284,0)+IFERROR(M284,0))</f>
        <v/>
      </c>
      <c r="O284" s="15">
        <f>IF(A284="","",IF(N284&gt;=28,TRUE,FALSE))</f>
        <v/>
      </c>
      <c r="P284" s="15">
        <f>IF(A284="","",OR(G284=TRUE,O284=TRUE))</f>
        <v/>
      </c>
      <c r="Q284" s="16">
        <f>IF(A284="","",IFERROR(H284,0)+IFERROR(I284,0)+IFERROR(J284,0)+IFERROR(K284,0)+IFERROR(L284,0))</f>
        <v/>
      </c>
      <c r="R284" s="16">
        <f>IF(A284="","",IF(P284=TRUE,0,Q284))</f>
        <v/>
      </c>
      <c r="S284" s="16">
        <f>IF(A284="","",IF(P284=TRUE,0,IFERROR(H284,0)))</f>
        <v/>
      </c>
      <c r="T284" s="16">
        <f>IF(A284="","",IF(P284=TRUE,0,IFERROR(I284,0)))</f>
        <v/>
      </c>
      <c r="U284" s="16">
        <f>IF(A284="","",IF(P284=TRUE,0,IFERROR(J284,0)))</f>
        <v/>
      </c>
      <c r="V284" s="16">
        <f>IF(A284="","",IF(P284=TRUE,0,IFERROR(K284,0)))</f>
        <v/>
      </c>
      <c r="W284" s="16">
        <f>IF(A284="","",IF(P284=TRUE,0,IFERROR(L284,0)))</f>
        <v/>
      </c>
      <c r="X284" s="16">
        <f>IF(A284="","",IF(P284=TRUE,0,IFERROR(H284,0)+IFERROR(I284,0)+IFERROR(L284,0)))</f>
        <v/>
      </c>
      <c r="Y284" s="16">
        <f>IF(A284="",0,IF(G284=TRUE,IFERROR(H284,0)+IFERROR(I284,0)+IFERROR(J284,0)+IFERROR(K284,0)+IFERROR(L284,0),0))</f>
        <v/>
      </c>
      <c r="Z284" s="16">
        <f>IF(A284="",0,IF(AND(O284=TRUE,G284&lt;&gt;TRUE),IFERROR(H284,0)+IFERROR(I284,0)+IFERROR(J284,0)+IFERROR(K284,0)+IFERROR(L284,0),0))</f>
        <v/>
      </c>
    </row>
    <row r="285">
      <c r="A285" s="10" t="n"/>
      <c r="B285" s="10" t="n"/>
      <c r="C285" s="11" t="n"/>
      <c r="D285" s="11" t="n"/>
      <c r="E285" s="10" t="n"/>
      <c r="F285" s="10" t="n"/>
      <c r="G285" s="12" t="n"/>
      <c r="H285" s="13" t="n"/>
      <c r="I285" s="13" t="n"/>
      <c r="J285" s="13" t="n"/>
      <c r="K285" s="13" t="n"/>
      <c r="L285" s="13" t="n"/>
      <c r="M285" s="14">
        <f>IFERROR(IF(A285="","",IFERROR(VLOOKUP(A285,Raw_PriorMonth!A:E,5,FALSE),0)),0)</f>
        <v/>
      </c>
      <c r="N285" s="14">
        <f>IF(A285="","",IFERROR(E285,0)+IFERROR(M285,0))</f>
        <v/>
      </c>
      <c r="O285" s="15">
        <f>IF(A285="","",IF(N285&gt;=28,TRUE,FALSE))</f>
        <v/>
      </c>
      <c r="P285" s="15">
        <f>IF(A285="","",OR(G285=TRUE,O285=TRUE))</f>
        <v/>
      </c>
      <c r="Q285" s="16">
        <f>IF(A285="","",IFERROR(H285,0)+IFERROR(I285,0)+IFERROR(J285,0)+IFERROR(K285,0)+IFERROR(L285,0))</f>
        <v/>
      </c>
      <c r="R285" s="16">
        <f>IF(A285="","",IF(P285=TRUE,0,Q285))</f>
        <v/>
      </c>
      <c r="S285" s="16">
        <f>IF(A285="","",IF(P285=TRUE,0,IFERROR(H285,0)))</f>
        <v/>
      </c>
      <c r="T285" s="16">
        <f>IF(A285="","",IF(P285=TRUE,0,IFERROR(I285,0)))</f>
        <v/>
      </c>
      <c r="U285" s="16">
        <f>IF(A285="","",IF(P285=TRUE,0,IFERROR(J285,0)))</f>
        <v/>
      </c>
      <c r="V285" s="16">
        <f>IF(A285="","",IF(P285=TRUE,0,IFERROR(K285,0)))</f>
        <v/>
      </c>
      <c r="W285" s="16">
        <f>IF(A285="","",IF(P285=TRUE,0,IFERROR(L285,0)))</f>
        <v/>
      </c>
      <c r="X285" s="16">
        <f>IF(A285="","",IF(P285=TRUE,0,IFERROR(H285,0)+IFERROR(I285,0)+IFERROR(L285,0)))</f>
        <v/>
      </c>
      <c r="Y285" s="16">
        <f>IF(A285="",0,IF(G285=TRUE,IFERROR(H285,0)+IFERROR(I285,0)+IFERROR(J285,0)+IFERROR(K285,0)+IFERROR(L285,0),0))</f>
        <v/>
      </c>
      <c r="Z285" s="16">
        <f>IF(A285="",0,IF(AND(O285=TRUE,G285&lt;&gt;TRUE),IFERROR(H285,0)+IFERROR(I285,0)+IFERROR(J285,0)+IFERROR(K285,0)+IFERROR(L285,0),0))</f>
        <v/>
      </c>
    </row>
    <row r="286">
      <c r="A286" s="10" t="n"/>
      <c r="B286" s="10" t="n"/>
      <c r="C286" s="11" t="n"/>
      <c r="D286" s="11" t="n"/>
      <c r="E286" s="10" t="n"/>
      <c r="F286" s="10" t="n"/>
      <c r="G286" s="12" t="n"/>
      <c r="H286" s="13" t="n"/>
      <c r="I286" s="13" t="n"/>
      <c r="J286" s="13" t="n"/>
      <c r="K286" s="13" t="n"/>
      <c r="L286" s="13" t="n"/>
      <c r="M286" s="14">
        <f>IFERROR(IF(A286="","",IFERROR(VLOOKUP(A286,Raw_PriorMonth!A:E,5,FALSE),0)),0)</f>
        <v/>
      </c>
      <c r="N286" s="14">
        <f>IF(A286="","",IFERROR(E286,0)+IFERROR(M286,0))</f>
        <v/>
      </c>
      <c r="O286" s="15">
        <f>IF(A286="","",IF(N286&gt;=28,TRUE,FALSE))</f>
        <v/>
      </c>
      <c r="P286" s="15">
        <f>IF(A286="","",OR(G286=TRUE,O286=TRUE))</f>
        <v/>
      </c>
      <c r="Q286" s="16">
        <f>IF(A286="","",IFERROR(H286,0)+IFERROR(I286,0)+IFERROR(J286,0)+IFERROR(K286,0)+IFERROR(L286,0))</f>
        <v/>
      </c>
      <c r="R286" s="16">
        <f>IF(A286="","",IF(P286=TRUE,0,Q286))</f>
        <v/>
      </c>
      <c r="S286" s="16">
        <f>IF(A286="","",IF(P286=TRUE,0,IFERROR(H286,0)))</f>
        <v/>
      </c>
      <c r="T286" s="16">
        <f>IF(A286="","",IF(P286=TRUE,0,IFERROR(I286,0)))</f>
        <v/>
      </c>
      <c r="U286" s="16">
        <f>IF(A286="","",IF(P286=TRUE,0,IFERROR(J286,0)))</f>
        <v/>
      </c>
      <c r="V286" s="16">
        <f>IF(A286="","",IF(P286=TRUE,0,IFERROR(K286,0)))</f>
        <v/>
      </c>
      <c r="W286" s="16">
        <f>IF(A286="","",IF(P286=TRUE,0,IFERROR(L286,0)))</f>
        <v/>
      </c>
      <c r="X286" s="16">
        <f>IF(A286="","",IF(P286=TRUE,0,IFERROR(H286,0)+IFERROR(I286,0)+IFERROR(L286,0)))</f>
        <v/>
      </c>
      <c r="Y286" s="16">
        <f>IF(A286="",0,IF(G286=TRUE,IFERROR(H286,0)+IFERROR(I286,0)+IFERROR(J286,0)+IFERROR(K286,0)+IFERROR(L286,0),0))</f>
        <v/>
      </c>
      <c r="Z286" s="16">
        <f>IF(A286="",0,IF(AND(O286=TRUE,G286&lt;&gt;TRUE),IFERROR(H286,0)+IFERROR(I286,0)+IFERROR(J286,0)+IFERROR(K286,0)+IFERROR(L286,0),0))</f>
        <v/>
      </c>
    </row>
    <row r="287">
      <c r="A287" s="10" t="n"/>
      <c r="B287" s="10" t="n"/>
      <c r="C287" s="11" t="n"/>
      <c r="D287" s="11" t="n"/>
      <c r="E287" s="10" t="n"/>
      <c r="F287" s="10" t="n"/>
      <c r="G287" s="12" t="n"/>
      <c r="H287" s="13" t="n"/>
      <c r="I287" s="13" t="n"/>
      <c r="J287" s="13" t="n"/>
      <c r="K287" s="13" t="n"/>
      <c r="L287" s="13" t="n"/>
      <c r="M287" s="14">
        <f>IFERROR(IF(A287="","",IFERROR(VLOOKUP(A287,Raw_PriorMonth!A:E,5,FALSE),0)),0)</f>
        <v/>
      </c>
      <c r="N287" s="14">
        <f>IF(A287="","",IFERROR(E287,0)+IFERROR(M287,0))</f>
        <v/>
      </c>
      <c r="O287" s="15">
        <f>IF(A287="","",IF(N287&gt;=28,TRUE,FALSE))</f>
        <v/>
      </c>
      <c r="P287" s="15">
        <f>IF(A287="","",OR(G287=TRUE,O287=TRUE))</f>
        <v/>
      </c>
      <c r="Q287" s="16">
        <f>IF(A287="","",IFERROR(H287,0)+IFERROR(I287,0)+IFERROR(J287,0)+IFERROR(K287,0)+IFERROR(L287,0))</f>
        <v/>
      </c>
      <c r="R287" s="16">
        <f>IF(A287="","",IF(P287=TRUE,0,Q287))</f>
        <v/>
      </c>
      <c r="S287" s="16">
        <f>IF(A287="","",IF(P287=TRUE,0,IFERROR(H287,0)))</f>
        <v/>
      </c>
      <c r="T287" s="16">
        <f>IF(A287="","",IF(P287=TRUE,0,IFERROR(I287,0)))</f>
        <v/>
      </c>
      <c r="U287" s="16">
        <f>IF(A287="","",IF(P287=TRUE,0,IFERROR(J287,0)))</f>
        <v/>
      </c>
      <c r="V287" s="16">
        <f>IF(A287="","",IF(P287=TRUE,0,IFERROR(K287,0)))</f>
        <v/>
      </c>
      <c r="W287" s="16">
        <f>IF(A287="","",IF(P287=TRUE,0,IFERROR(L287,0)))</f>
        <v/>
      </c>
      <c r="X287" s="16">
        <f>IF(A287="","",IF(P287=TRUE,0,IFERROR(H287,0)+IFERROR(I287,0)+IFERROR(L287,0)))</f>
        <v/>
      </c>
      <c r="Y287" s="16">
        <f>IF(A287="",0,IF(G287=TRUE,IFERROR(H287,0)+IFERROR(I287,0)+IFERROR(J287,0)+IFERROR(K287,0)+IFERROR(L287,0),0))</f>
        <v/>
      </c>
      <c r="Z287" s="16">
        <f>IF(A287="",0,IF(AND(O287=TRUE,G287&lt;&gt;TRUE),IFERROR(H287,0)+IFERROR(I287,0)+IFERROR(J287,0)+IFERROR(K287,0)+IFERROR(L287,0),0))</f>
        <v/>
      </c>
    </row>
    <row r="288">
      <c r="A288" s="10" t="n"/>
      <c r="B288" s="10" t="n"/>
      <c r="C288" s="11" t="n"/>
      <c r="D288" s="11" t="n"/>
      <c r="E288" s="10" t="n"/>
      <c r="F288" s="10" t="n"/>
      <c r="G288" s="12" t="n"/>
      <c r="H288" s="13" t="n"/>
      <c r="I288" s="13" t="n"/>
      <c r="J288" s="13" t="n"/>
      <c r="K288" s="13" t="n"/>
      <c r="L288" s="13" t="n"/>
      <c r="M288" s="14">
        <f>IFERROR(IF(A288="","",IFERROR(VLOOKUP(A288,Raw_PriorMonth!A:E,5,FALSE),0)),0)</f>
        <v/>
      </c>
      <c r="N288" s="14">
        <f>IF(A288="","",IFERROR(E288,0)+IFERROR(M288,0))</f>
        <v/>
      </c>
      <c r="O288" s="15">
        <f>IF(A288="","",IF(N288&gt;=28,TRUE,FALSE))</f>
        <v/>
      </c>
      <c r="P288" s="15">
        <f>IF(A288="","",OR(G288=TRUE,O288=TRUE))</f>
        <v/>
      </c>
      <c r="Q288" s="16">
        <f>IF(A288="","",IFERROR(H288,0)+IFERROR(I288,0)+IFERROR(J288,0)+IFERROR(K288,0)+IFERROR(L288,0))</f>
        <v/>
      </c>
      <c r="R288" s="16">
        <f>IF(A288="","",IF(P288=TRUE,0,Q288))</f>
        <v/>
      </c>
      <c r="S288" s="16">
        <f>IF(A288="","",IF(P288=TRUE,0,IFERROR(H288,0)))</f>
        <v/>
      </c>
      <c r="T288" s="16">
        <f>IF(A288="","",IF(P288=TRUE,0,IFERROR(I288,0)))</f>
        <v/>
      </c>
      <c r="U288" s="16">
        <f>IF(A288="","",IF(P288=TRUE,0,IFERROR(J288,0)))</f>
        <v/>
      </c>
      <c r="V288" s="16">
        <f>IF(A288="","",IF(P288=TRUE,0,IFERROR(K288,0)))</f>
        <v/>
      </c>
      <c r="W288" s="16">
        <f>IF(A288="","",IF(P288=TRUE,0,IFERROR(L288,0)))</f>
        <v/>
      </c>
      <c r="X288" s="16">
        <f>IF(A288="","",IF(P288=TRUE,0,IFERROR(H288,0)+IFERROR(I288,0)+IFERROR(L288,0)))</f>
        <v/>
      </c>
      <c r="Y288" s="16">
        <f>IF(A288="",0,IF(G288=TRUE,IFERROR(H288,0)+IFERROR(I288,0)+IFERROR(J288,0)+IFERROR(K288,0)+IFERROR(L288,0),0))</f>
        <v/>
      </c>
      <c r="Z288" s="16">
        <f>IF(A288="",0,IF(AND(O288=TRUE,G288&lt;&gt;TRUE),IFERROR(H288,0)+IFERROR(I288,0)+IFERROR(J288,0)+IFERROR(K288,0)+IFERROR(L288,0),0))</f>
        <v/>
      </c>
    </row>
    <row r="289">
      <c r="A289" s="10" t="n"/>
      <c r="B289" s="10" t="n"/>
      <c r="C289" s="11" t="n"/>
      <c r="D289" s="11" t="n"/>
      <c r="E289" s="10" t="n"/>
      <c r="F289" s="10" t="n"/>
      <c r="G289" s="12" t="n"/>
      <c r="H289" s="13" t="n"/>
      <c r="I289" s="13" t="n"/>
      <c r="J289" s="13" t="n"/>
      <c r="K289" s="13" t="n"/>
      <c r="L289" s="13" t="n"/>
      <c r="M289" s="14">
        <f>IFERROR(IF(A289="","",IFERROR(VLOOKUP(A289,Raw_PriorMonth!A:E,5,FALSE),0)),0)</f>
        <v/>
      </c>
      <c r="N289" s="14">
        <f>IF(A289="","",IFERROR(E289,0)+IFERROR(M289,0))</f>
        <v/>
      </c>
      <c r="O289" s="15">
        <f>IF(A289="","",IF(N289&gt;=28,TRUE,FALSE))</f>
        <v/>
      </c>
      <c r="P289" s="15">
        <f>IF(A289="","",OR(G289=TRUE,O289=TRUE))</f>
        <v/>
      </c>
      <c r="Q289" s="16">
        <f>IF(A289="","",IFERROR(H289,0)+IFERROR(I289,0)+IFERROR(J289,0)+IFERROR(K289,0)+IFERROR(L289,0))</f>
        <v/>
      </c>
      <c r="R289" s="16">
        <f>IF(A289="","",IF(P289=TRUE,0,Q289))</f>
        <v/>
      </c>
      <c r="S289" s="16">
        <f>IF(A289="","",IF(P289=TRUE,0,IFERROR(H289,0)))</f>
        <v/>
      </c>
      <c r="T289" s="16">
        <f>IF(A289="","",IF(P289=TRUE,0,IFERROR(I289,0)))</f>
        <v/>
      </c>
      <c r="U289" s="16">
        <f>IF(A289="","",IF(P289=TRUE,0,IFERROR(J289,0)))</f>
        <v/>
      </c>
      <c r="V289" s="16">
        <f>IF(A289="","",IF(P289=TRUE,0,IFERROR(K289,0)))</f>
        <v/>
      </c>
      <c r="W289" s="16">
        <f>IF(A289="","",IF(P289=TRUE,0,IFERROR(L289,0)))</f>
        <v/>
      </c>
      <c r="X289" s="16">
        <f>IF(A289="","",IF(P289=TRUE,0,IFERROR(H289,0)+IFERROR(I289,0)+IFERROR(L289,0)))</f>
        <v/>
      </c>
      <c r="Y289" s="16">
        <f>IF(A289="",0,IF(G289=TRUE,IFERROR(H289,0)+IFERROR(I289,0)+IFERROR(J289,0)+IFERROR(K289,0)+IFERROR(L289,0),0))</f>
        <v/>
      </c>
      <c r="Z289" s="16">
        <f>IF(A289="",0,IF(AND(O289=TRUE,G289&lt;&gt;TRUE),IFERROR(H289,0)+IFERROR(I289,0)+IFERROR(J289,0)+IFERROR(K289,0)+IFERROR(L289,0),0))</f>
        <v/>
      </c>
    </row>
    <row r="290">
      <c r="A290" s="10" t="n"/>
      <c r="B290" s="10" t="n"/>
      <c r="C290" s="11" t="n"/>
      <c r="D290" s="11" t="n"/>
      <c r="E290" s="10" t="n"/>
      <c r="F290" s="10" t="n"/>
      <c r="G290" s="12" t="n"/>
      <c r="H290" s="13" t="n"/>
      <c r="I290" s="13" t="n"/>
      <c r="J290" s="13" t="n"/>
      <c r="K290" s="13" t="n"/>
      <c r="L290" s="13" t="n"/>
      <c r="M290" s="14">
        <f>IFERROR(IF(A290="","",IFERROR(VLOOKUP(A290,Raw_PriorMonth!A:E,5,FALSE),0)),0)</f>
        <v/>
      </c>
      <c r="N290" s="14">
        <f>IF(A290="","",IFERROR(E290,0)+IFERROR(M290,0))</f>
        <v/>
      </c>
      <c r="O290" s="15">
        <f>IF(A290="","",IF(N290&gt;=28,TRUE,FALSE))</f>
        <v/>
      </c>
      <c r="P290" s="15">
        <f>IF(A290="","",OR(G290=TRUE,O290=TRUE))</f>
        <v/>
      </c>
      <c r="Q290" s="16">
        <f>IF(A290="","",IFERROR(H290,0)+IFERROR(I290,0)+IFERROR(J290,0)+IFERROR(K290,0)+IFERROR(L290,0))</f>
        <v/>
      </c>
      <c r="R290" s="16">
        <f>IF(A290="","",IF(P290=TRUE,0,Q290))</f>
        <v/>
      </c>
      <c r="S290" s="16">
        <f>IF(A290="","",IF(P290=TRUE,0,IFERROR(H290,0)))</f>
        <v/>
      </c>
      <c r="T290" s="16">
        <f>IF(A290="","",IF(P290=TRUE,0,IFERROR(I290,0)))</f>
        <v/>
      </c>
      <c r="U290" s="16">
        <f>IF(A290="","",IF(P290=TRUE,0,IFERROR(J290,0)))</f>
        <v/>
      </c>
      <c r="V290" s="16">
        <f>IF(A290="","",IF(P290=TRUE,0,IFERROR(K290,0)))</f>
        <v/>
      </c>
      <c r="W290" s="16">
        <f>IF(A290="","",IF(P290=TRUE,0,IFERROR(L290,0)))</f>
        <v/>
      </c>
      <c r="X290" s="16">
        <f>IF(A290="","",IF(P290=TRUE,0,IFERROR(H290,0)+IFERROR(I290,0)+IFERROR(L290,0)))</f>
        <v/>
      </c>
      <c r="Y290" s="16">
        <f>IF(A290="",0,IF(G290=TRUE,IFERROR(H290,0)+IFERROR(I290,0)+IFERROR(J290,0)+IFERROR(K290,0)+IFERROR(L290,0),0))</f>
        <v/>
      </c>
      <c r="Z290" s="16">
        <f>IF(A290="",0,IF(AND(O290=TRUE,G290&lt;&gt;TRUE),IFERROR(H290,0)+IFERROR(I290,0)+IFERROR(J290,0)+IFERROR(K290,0)+IFERROR(L290,0),0))</f>
        <v/>
      </c>
    </row>
    <row r="291">
      <c r="A291" s="10" t="n"/>
      <c r="B291" s="10" t="n"/>
      <c r="C291" s="11" t="n"/>
      <c r="D291" s="11" t="n"/>
      <c r="E291" s="10" t="n"/>
      <c r="F291" s="10" t="n"/>
      <c r="G291" s="12" t="n"/>
      <c r="H291" s="13" t="n"/>
      <c r="I291" s="13" t="n"/>
      <c r="J291" s="13" t="n"/>
      <c r="K291" s="13" t="n"/>
      <c r="L291" s="13" t="n"/>
      <c r="M291" s="14">
        <f>IFERROR(IF(A291="","",IFERROR(VLOOKUP(A291,Raw_PriorMonth!A:E,5,FALSE),0)),0)</f>
        <v/>
      </c>
      <c r="N291" s="14">
        <f>IF(A291="","",IFERROR(E291,0)+IFERROR(M291,0))</f>
        <v/>
      </c>
      <c r="O291" s="15">
        <f>IF(A291="","",IF(N291&gt;=28,TRUE,FALSE))</f>
        <v/>
      </c>
      <c r="P291" s="15">
        <f>IF(A291="","",OR(G291=TRUE,O291=TRUE))</f>
        <v/>
      </c>
      <c r="Q291" s="16">
        <f>IF(A291="","",IFERROR(H291,0)+IFERROR(I291,0)+IFERROR(J291,0)+IFERROR(K291,0)+IFERROR(L291,0))</f>
        <v/>
      </c>
      <c r="R291" s="16">
        <f>IF(A291="","",IF(P291=TRUE,0,Q291))</f>
        <v/>
      </c>
      <c r="S291" s="16">
        <f>IF(A291="","",IF(P291=TRUE,0,IFERROR(H291,0)))</f>
        <v/>
      </c>
      <c r="T291" s="16">
        <f>IF(A291="","",IF(P291=TRUE,0,IFERROR(I291,0)))</f>
        <v/>
      </c>
      <c r="U291" s="16">
        <f>IF(A291="","",IF(P291=TRUE,0,IFERROR(J291,0)))</f>
        <v/>
      </c>
      <c r="V291" s="16">
        <f>IF(A291="","",IF(P291=TRUE,0,IFERROR(K291,0)))</f>
        <v/>
      </c>
      <c r="W291" s="16">
        <f>IF(A291="","",IF(P291=TRUE,0,IFERROR(L291,0)))</f>
        <v/>
      </c>
      <c r="X291" s="16">
        <f>IF(A291="","",IF(P291=TRUE,0,IFERROR(H291,0)+IFERROR(I291,0)+IFERROR(L291,0)))</f>
        <v/>
      </c>
      <c r="Y291" s="16">
        <f>IF(A291="",0,IF(G291=TRUE,IFERROR(H291,0)+IFERROR(I291,0)+IFERROR(J291,0)+IFERROR(K291,0)+IFERROR(L291,0),0))</f>
        <v/>
      </c>
      <c r="Z291" s="16">
        <f>IF(A291="",0,IF(AND(O291=TRUE,G291&lt;&gt;TRUE),IFERROR(H291,0)+IFERROR(I291,0)+IFERROR(J291,0)+IFERROR(K291,0)+IFERROR(L291,0),0))</f>
        <v/>
      </c>
    </row>
    <row r="292">
      <c r="A292" s="10" t="n"/>
      <c r="B292" s="10" t="n"/>
      <c r="C292" s="11" t="n"/>
      <c r="D292" s="11" t="n"/>
      <c r="E292" s="10" t="n"/>
      <c r="F292" s="10" t="n"/>
      <c r="G292" s="12" t="n"/>
      <c r="H292" s="13" t="n"/>
      <c r="I292" s="13" t="n"/>
      <c r="J292" s="13" t="n"/>
      <c r="K292" s="13" t="n"/>
      <c r="L292" s="13" t="n"/>
      <c r="M292" s="14">
        <f>IFERROR(IF(A292="","",IFERROR(VLOOKUP(A292,Raw_PriorMonth!A:E,5,FALSE),0)),0)</f>
        <v/>
      </c>
      <c r="N292" s="14">
        <f>IF(A292="","",IFERROR(E292,0)+IFERROR(M292,0))</f>
        <v/>
      </c>
      <c r="O292" s="15">
        <f>IF(A292="","",IF(N292&gt;=28,TRUE,FALSE))</f>
        <v/>
      </c>
      <c r="P292" s="15">
        <f>IF(A292="","",OR(G292=TRUE,O292=TRUE))</f>
        <v/>
      </c>
      <c r="Q292" s="16">
        <f>IF(A292="","",IFERROR(H292,0)+IFERROR(I292,0)+IFERROR(J292,0)+IFERROR(K292,0)+IFERROR(L292,0))</f>
        <v/>
      </c>
      <c r="R292" s="16">
        <f>IF(A292="","",IF(P292=TRUE,0,Q292))</f>
        <v/>
      </c>
      <c r="S292" s="16">
        <f>IF(A292="","",IF(P292=TRUE,0,IFERROR(H292,0)))</f>
        <v/>
      </c>
      <c r="T292" s="16">
        <f>IF(A292="","",IF(P292=TRUE,0,IFERROR(I292,0)))</f>
        <v/>
      </c>
      <c r="U292" s="16">
        <f>IF(A292="","",IF(P292=TRUE,0,IFERROR(J292,0)))</f>
        <v/>
      </c>
      <c r="V292" s="16">
        <f>IF(A292="","",IF(P292=TRUE,0,IFERROR(K292,0)))</f>
        <v/>
      </c>
      <c r="W292" s="16">
        <f>IF(A292="","",IF(P292=TRUE,0,IFERROR(L292,0)))</f>
        <v/>
      </c>
      <c r="X292" s="16">
        <f>IF(A292="","",IF(P292=TRUE,0,IFERROR(H292,0)+IFERROR(I292,0)+IFERROR(L292,0)))</f>
        <v/>
      </c>
      <c r="Y292" s="16">
        <f>IF(A292="",0,IF(G292=TRUE,IFERROR(H292,0)+IFERROR(I292,0)+IFERROR(J292,0)+IFERROR(K292,0)+IFERROR(L292,0),0))</f>
        <v/>
      </c>
      <c r="Z292" s="16">
        <f>IF(A292="",0,IF(AND(O292=TRUE,G292&lt;&gt;TRUE),IFERROR(H292,0)+IFERROR(I292,0)+IFERROR(J292,0)+IFERROR(K292,0)+IFERROR(L292,0),0))</f>
        <v/>
      </c>
    </row>
    <row r="293">
      <c r="A293" s="10" t="n"/>
      <c r="B293" s="10" t="n"/>
      <c r="C293" s="11" t="n"/>
      <c r="D293" s="11" t="n"/>
      <c r="E293" s="10" t="n"/>
      <c r="F293" s="10" t="n"/>
      <c r="G293" s="12" t="n"/>
      <c r="H293" s="13" t="n"/>
      <c r="I293" s="13" t="n"/>
      <c r="J293" s="13" t="n"/>
      <c r="K293" s="13" t="n"/>
      <c r="L293" s="13" t="n"/>
      <c r="M293" s="14">
        <f>IFERROR(IF(A293="","",IFERROR(VLOOKUP(A293,Raw_PriorMonth!A:E,5,FALSE),0)),0)</f>
        <v/>
      </c>
      <c r="N293" s="14">
        <f>IF(A293="","",IFERROR(E293,0)+IFERROR(M293,0))</f>
        <v/>
      </c>
      <c r="O293" s="15">
        <f>IF(A293="","",IF(N293&gt;=28,TRUE,FALSE))</f>
        <v/>
      </c>
      <c r="P293" s="15">
        <f>IF(A293="","",OR(G293=TRUE,O293=TRUE))</f>
        <v/>
      </c>
      <c r="Q293" s="16">
        <f>IF(A293="","",IFERROR(H293,0)+IFERROR(I293,0)+IFERROR(J293,0)+IFERROR(K293,0)+IFERROR(L293,0))</f>
        <v/>
      </c>
      <c r="R293" s="16">
        <f>IF(A293="","",IF(P293=TRUE,0,Q293))</f>
        <v/>
      </c>
      <c r="S293" s="16">
        <f>IF(A293="","",IF(P293=TRUE,0,IFERROR(H293,0)))</f>
        <v/>
      </c>
      <c r="T293" s="16">
        <f>IF(A293="","",IF(P293=TRUE,0,IFERROR(I293,0)))</f>
        <v/>
      </c>
      <c r="U293" s="16">
        <f>IF(A293="","",IF(P293=TRUE,0,IFERROR(J293,0)))</f>
        <v/>
      </c>
      <c r="V293" s="16">
        <f>IF(A293="","",IF(P293=TRUE,0,IFERROR(K293,0)))</f>
        <v/>
      </c>
      <c r="W293" s="16">
        <f>IF(A293="","",IF(P293=TRUE,0,IFERROR(L293,0)))</f>
        <v/>
      </c>
      <c r="X293" s="16">
        <f>IF(A293="","",IF(P293=TRUE,0,IFERROR(H293,0)+IFERROR(I293,0)+IFERROR(L293,0)))</f>
        <v/>
      </c>
      <c r="Y293" s="16">
        <f>IF(A293="",0,IF(G293=TRUE,IFERROR(H293,0)+IFERROR(I293,0)+IFERROR(J293,0)+IFERROR(K293,0)+IFERROR(L293,0),0))</f>
        <v/>
      </c>
      <c r="Z293" s="16">
        <f>IF(A293="",0,IF(AND(O293=TRUE,G293&lt;&gt;TRUE),IFERROR(H293,0)+IFERROR(I293,0)+IFERROR(J293,0)+IFERROR(K293,0)+IFERROR(L293,0),0))</f>
        <v/>
      </c>
    </row>
    <row r="294">
      <c r="A294" s="10" t="n"/>
      <c r="B294" s="10" t="n"/>
      <c r="C294" s="11" t="n"/>
      <c r="D294" s="11" t="n"/>
      <c r="E294" s="10" t="n"/>
      <c r="F294" s="10" t="n"/>
      <c r="G294" s="12" t="n"/>
      <c r="H294" s="13" t="n"/>
      <c r="I294" s="13" t="n"/>
      <c r="J294" s="13" t="n"/>
      <c r="K294" s="13" t="n"/>
      <c r="L294" s="13" t="n"/>
      <c r="M294" s="14">
        <f>IFERROR(IF(A294="","",IFERROR(VLOOKUP(A294,Raw_PriorMonth!A:E,5,FALSE),0)),0)</f>
        <v/>
      </c>
      <c r="N294" s="14">
        <f>IF(A294="","",IFERROR(E294,0)+IFERROR(M294,0))</f>
        <v/>
      </c>
      <c r="O294" s="15">
        <f>IF(A294="","",IF(N294&gt;=28,TRUE,FALSE))</f>
        <v/>
      </c>
      <c r="P294" s="15">
        <f>IF(A294="","",OR(G294=TRUE,O294=TRUE))</f>
        <v/>
      </c>
      <c r="Q294" s="16">
        <f>IF(A294="","",IFERROR(H294,0)+IFERROR(I294,0)+IFERROR(J294,0)+IFERROR(K294,0)+IFERROR(L294,0))</f>
        <v/>
      </c>
      <c r="R294" s="16">
        <f>IF(A294="","",IF(P294=TRUE,0,Q294))</f>
        <v/>
      </c>
      <c r="S294" s="16">
        <f>IF(A294="","",IF(P294=TRUE,0,IFERROR(H294,0)))</f>
        <v/>
      </c>
      <c r="T294" s="16">
        <f>IF(A294="","",IF(P294=TRUE,0,IFERROR(I294,0)))</f>
        <v/>
      </c>
      <c r="U294" s="16">
        <f>IF(A294="","",IF(P294=TRUE,0,IFERROR(J294,0)))</f>
        <v/>
      </c>
      <c r="V294" s="16">
        <f>IF(A294="","",IF(P294=TRUE,0,IFERROR(K294,0)))</f>
        <v/>
      </c>
      <c r="W294" s="16">
        <f>IF(A294="","",IF(P294=TRUE,0,IFERROR(L294,0)))</f>
        <v/>
      </c>
      <c r="X294" s="16">
        <f>IF(A294="","",IF(P294=TRUE,0,IFERROR(H294,0)+IFERROR(I294,0)+IFERROR(L294,0)))</f>
        <v/>
      </c>
      <c r="Y294" s="16">
        <f>IF(A294="",0,IF(G294=TRUE,IFERROR(H294,0)+IFERROR(I294,0)+IFERROR(J294,0)+IFERROR(K294,0)+IFERROR(L294,0),0))</f>
        <v/>
      </c>
      <c r="Z294" s="16">
        <f>IF(A294="",0,IF(AND(O294=TRUE,G294&lt;&gt;TRUE),IFERROR(H294,0)+IFERROR(I294,0)+IFERROR(J294,0)+IFERROR(K294,0)+IFERROR(L294,0),0))</f>
        <v/>
      </c>
    </row>
    <row r="295">
      <c r="A295" s="10" t="n"/>
      <c r="B295" s="10" t="n"/>
      <c r="C295" s="11" t="n"/>
      <c r="D295" s="11" t="n"/>
      <c r="E295" s="10" t="n"/>
      <c r="F295" s="10" t="n"/>
      <c r="G295" s="12" t="n"/>
      <c r="H295" s="13" t="n"/>
      <c r="I295" s="13" t="n"/>
      <c r="J295" s="13" t="n"/>
      <c r="K295" s="13" t="n"/>
      <c r="L295" s="13" t="n"/>
      <c r="M295" s="14">
        <f>IFERROR(IF(A295="","",IFERROR(VLOOKUP(A295,Raw_PriorMonth!A:E,5,FALSE),0)),0)</f>
        <v/>
      </c>
      <c r="N295" s="14">
        <f>IF(A295="","",IFERROR(E295,0)+IFERROR(M295,0))</f>
        <v/>
      </c>
      <c r="O295" s="15">
        <f>IF(A295="","",IF(N295&gt;=28,TRUE,FALSE))</f>
        <v/>
      </c>
      <c r="P295" s="15">
        <f>IF(A295="","",OR(G295=TRUE,O295=TRUE))</f>
        <v/>
      </c>
      <c r="Q295" s="16">
        <f>IF(A295="","",IFERROR(H295,0)+IFERROR(I295,0)+IFERROR(J295,0)+IFERROR(K295,0)+IFERROR(L295,0))</f>
        <v/>
      </c>
      <c r="R295" s="16">
        <f>IF(A295="","",IF(P295=TRUE,0,Q295))</f>
        <v/>
      </c>
      <c r="S295" s="16">
        <f>IF(A295="","",IF(P295=TRUE,0,IFERROR(H295,0)))</f>
        <v/>
      </c>
      <c r="T295" s="16">
        <f>IF(A295="","",IF(P295=TRUE,0,IFERROR(I295,0)))</f>
        <v/>
      </c>
      <c r="U295" s="16">
        <f>IF(A295="","",IF(P295=TRUE,0,IFERROR(J295,0)))</f>
        <v/>
      </c>
      <c r="V295" s="16">
        <f>IF(A295="","",IF(P295=TRUE,0,IFERROR(K295,0)))</f>
        <v/>
      </c>
      <c r="W295" s="16">
        <f>IF(A295="","",IF(P295=TRUE,0,IFERROR(L295,0)))</f>
        <v/>
      </c>
      <c r="X295" s="16">
        <f>IF(A295="","",IF(P295=TRUE,0,IFERROR(H295,0)+IFERROR(I295,0)+IFERROR(L295,0)))</f>
        <v/>
      </c>
      <c r="Y295" s="16">
        <f>IF(A295="",0,IF(G295=TRUE,IFERROR(H295,0)+IFERROR(I295,0)+IFERROR(J295,0)+IFERROR(K295,0)+IFERROR(L295,0),0))</f>
        <v/>
      </c>
      <c r="Z295" s="16">
        <f>IF(A295="",0,IF(AND(O295=TRUE,G295&lt;&gt;TRUE),IFERROR(H295,0)+IFERROR(I295,0)+IFERROR(J295,0)+IFERROR(K295,0)+IFERROR(L295,0),0))</f>
        <v/>
      </c>
    </row>
    <row r="296">
      <c r="A296" s="10" t="n"/>
      <c r="B296" s="10" t="n"/>
      <c r="C296" s="11" t="n"/>
      <c r="D296" s="11" t="n"/>
      <c r="E296" s="10" t="n"/>
      <c r="F296" s="10" t="n"/>
      <c r="G296" s="12" t="n"/>
      <c r="H296" s="13" t="n"/>
      <c r="I296" s="13" t="n"/>
      <c r="J296" s="13" t="n"/>
      <c r="K296" s="13" t="n"/>
      <c r="L296" s="13" t="n"/>
      <c r="M296" s="14">
        <f>IFERROR(IF(A296="","",IFERROR(VLOOKUP(A296,Raw_PriorMonth!A:E,5,FALSE),0)),0)</f>
        <v/>
      </c>
      <c r="N296" s="14">
        <f>IF(A296="","",IFERROR(E296,0)+IFERROR(M296,0))</f>
        <v/>
      </c>
      <c r="O296" s="15">
        <f>IF(A296="","",IF(N296&gt;=28,TRUE,FALSE))</f>
        <v/>
      </c>
      <c r="P296" s="15">
        <f>IF(A296="","",OR(G296=TRUE,O296=TRUE))</f>
        <v/>
      </c>
      <c r="Q296" s="16">
        <f>IF(A296="","",IFERROR(H296,0)+IFERROR(I296,0)+IFERROR(J296,0)+IFERROR(K296,0)+IFERROR(L296,0))</f>
        <v/>
      </c>
      <c r="R296" s="16">
        <f>IF(A296="","",IF(P296=TRUE,0,Q296))</f>
        <v/>
      </c>
      <c r="S296" s="16">
        <f>IF(A296="","",IF(P296=TRUE,0,IFERROR(H296,0)))</f>
        <v/>
      </c>
      <c r="T296" s="16">
        <f>IF(A296="","",IF(P296=TRUE,0,IFERROR(I296,0)))</f>
        <v/>
      </c>
      <c r="U296" s="16">
        <f>IF(A296="","",IF(P296=TRUE,0,IFERROR(J296,0)))</f>
        <v/>
      </c>
      <c r="V296" s="16">
        <f>IF(A296="","",IF(P296=TRUE,0,IFERROR(K296,0)))</f>
        <v/>
      </c>
      <c r="W296" s="16">
        <f>IF(A296="","",IF(P296=TRUE,0,IFERROR(L296,0)))</f>
        <v/>
      </c>
      <c r="X296" s="16">
        <f>IF(A296="","",IF(P296=TRUE,0,IFERROR(H296,0)+IFERROR(I296,0)+IFERROR(L296,0)))</f>
        <v/>
      </c>
      <c r="Y296" s="16">
        <f>IF(A296="",0,IF(G296=TRUE,IFERROR(H296,0)+IFERROR(I296,0)+IFERROR(J296,0)+IFERROR(K296,0)+IFERROR(L296,0),0))</f>
        <v/>
      </c>
      <c r="Z296" s="16">
        <f>IF(A296="",0,IF(AND(O296=TRUE,G296&lt;&gt;TRUE),IFERROR(H296,0)+IFERROR(I296,0)+IFERROR(J296,0)+IFERROR(K296,0)+IFERROR(L296,0),0))</f>
        <v/>
      </c>
    </row>
    <row r="297">
      <c r="A297" s="10" t="n"/>
      <c r="B297" s="10" t="n"/>
      <c r="C297" s="11" t="n"/>
      <c r="D297" s="11" t="n"/>
      <c r="E297" s="10" t="n"/>
      <c r="F297" s="10" t="n"/>
      <c r="G297" s="12" t="n"/>
      <c r="H297" s="13" t="n"/>
      <c r="I297" s="13" t="n"/>
      <c r="J297" s="13" t="n"/>
      <c r="K297" s="13" t="n"/>
      <c r="L297" s="13" t="n"/>
      <c r="M297" s="14">
        <f>IFERROR(IF(A297="","",IFERROR(VLOOKUP(A297,Raw_PriorMonth!A:E,5,FALSE),0)),0)</f>
        <v/>
      </c>
      <c r="N297" s="14">
        <f>IF(A297="","",IFERROR(E297,0)+IFERROR(M297,0))</f>
        <v/>
      </c>
      <c r="O297" s="15">
        <f>IF(A297="","",IF(N297&gt;=28,TRUE,FALSE))</f>
        <v/>
      </c>
      <c r="P297" s="15">
        <f>IF(A297="","",OR(G297=TRUE,O297=TRUE))</f>
        <v/>
      </c>
      <c r="Q297" s="16">
        <f>IF(A297="","",IFERROR(H297,0)+IFERROR(I297,0)+IFERROR(J297,0)+IFERROR(K297,0)+IFERROR(L297,0))</f>
        <v/>
      </c>
      <c r="R297" s="16">
        <f>IF(A297="","",IF(P297=TRUE,0,Q297))</f>
        <v/>
      </c>
      <c r="S297" s="16">
        <f>IF(A297="","",IF(P297=TRUE,0,IFERROR(H297,0)))</f>
        <v/>
      </c>
      <c r="T297" s="16">
        <f>IF(A297="","",IF(P297=TRUE,0,IFERROR(I297,0)))</f>
        <v/>
      </c>
      <c r="U297" s="16">
        <f>IF(A297="","",IF(P297=TRUE,0,IFERROR(J297,0)))</f>
        <v/>
      </c>
      <c r="V297" s="16">
        <f>IF(A297="","",IF(P297=TRUE,0,IFERROR(K297,0)))</f>
        <v/>
      </c>
      <c r="W297" s="16">
        <f>IF(A297="","",IF(P297=TRUE,0,IFERROR(L297,0)))</f>
        <v/>
      </c>
      <c r="X297" s="16">
        <f>IF(A297="","",IF(P297=TRUE,0,IFERROR(H297,0)+IFERROR(I297,0)+IFERROR(L297,0)))</f>
        <v/>
      </c>
      <c r="Y297" s="16">
        <f>IF(A297="",0,IF(G297=TRUE,IFERROR(H297,0)+IFERROR(I297,0)+IFERROR(J297,0)+IFERROR(K297,0)+IFERROR(L297,0),0))</f>
        <v/>
      </c>
      <c r="Z297" s="16">
        <f>IF(A297="",0,IF(AND(O297=TRUE,G297&lt;&gt;TRUE),IFERROR(H297,0)+IFERROR(I297,0)+IFERROR(J297,0)+IFERROR(K297,0)+IFERROR(L297,0),0))</f>
        <v/>
      </c>
    </row>
    <row r="298">
      <c r="A298" s="10" t="n"/>
      <c r="B298" s="10" t="n"/>
      <c r="C298" s="11" t="n"/>
      <c r="D298" s="11" t="n"/>
      <c r="E298" s="10" t="n"/>
      <c r="F298" s="10" t="n"/>
      <c r="G298" s="12" t="n"/>
      <c r="H298" s="13" t="n"/>
      <c r="I298" s="13" t="n"/>
      <c r="J298" s="13" t="n"/>
      <c r="K298" s="13" t="n"/>
      <c r="L298" s="13" t="n"/>
      <c r="M298" s="14">
        <f>IFERROR(IF(A298="","",IFERROR(VLOOKUP(A298,Raw_PriorMonth!A:E,5,FALSE),0)),0)</f>
        <v/>
      </c>
      <c r="N298" s="14">
        <f>IF(A298="","",IFERROR(E298,0)+IFERROR(M298,0))</f>
        <v/>
      </c>
      <c r="O298" s="15">
        <f>IF(A298="","",IF(N298&gt;=28,TRUE,FALSE))</f>
        <v/>
      </c>
      <c r="P298" s="15">
        <f>IF(A298="","",OR(G298=TRUE,O298=TRUE))</f>
        <v/>
      </c>
      <c r="Q298" s="16">
        <f>IF(A298="","",IFERROR(H298,0)+IFERROR(I298,0)+IFERROR(J298,0)+IFERROR(K298,0)+IFERROR(L298,0))</f>
        <v/>
      </c>
      <c r="R298" s="16">
        <f>IF(A298="","",IF(P298=TRUE,0,Q298))</f>
        <v/>
      </c>
      <c r="S298" s="16">
        <f>IF(A298="","",IF(P298=TRUE,0,IFERROR(H298,0)))</f>
        <v/>
      </c>
      <c r="T298" s="16">
        <f>IF(A298="","",IF(P298=TRUE,0,IFERROR(I298,0)))</f>
        <v/>
      </c>
      <c r="U298" s="16">
        <f>IF(A298="","",IF(P298=TRUE,0,IFERROR(J298,0)))</f>
        <v/>
      </c>
      <c r="V298" s="16">
        <f>IF(A298="","",IF(P298=TRUE,0,IFERROR(K298,0)))</f>
        <v/>
      </c>
      <c r="W298" s="16">
        <f>IF(A298="","",IF(P298=TRUE,0,IFERROR(L298,0)))</f>
        <v/>
      </c>
      <c r="X298" s="16">
        <f>IF(A298="","",IF(P298=TRUE,0,IFERROR(H298,0)+IFERROR(I298,0)+IFERROR(L298,0)))</f>
        <v/>
      </c>
      <c r="Y298" s="16">
        <f>IF(A298="",0,IF(G298=TRUE,IFERROR(H298,0)+IFERROR(I298,0)+IFERROR(J298,0)+IFERROR(K298,0)+IFERROR(L298,0),0))</f>
        <v/>
      </c>
      <c r="Z298" s="16">
        <f>IF(A298="",0,IF(AND(O298=TRUE,G298&lt;&gt;TRUE),IFERROR(H298,0)+IFERROR(I298,0)+IFERROR(J298,0)+IFERROR(K298,0)+IFERROR(L298,0),0))</f>
        <v/>
      </c>
    </row>
    <row r="299">
      <c r="A299" s="10" t="n"/>
      <c r="B299" s="10" t="n"/>
      <c r="C299" s="11" t="n"/>
      <c r="D299" s="11" t="n"/>
      <c r="E299" s="10" t="n"/>
      <c r="F299" s="10" t="n"/>
      <c r="G299" s="12" t="n"/>
      <c r="H299" s="13" t="n"/>
      <c r="I299" s="13" t="n"/>
      <c r="J299" s="13" t="n"/>
      <c r="K299" s="13" t="n"/>
      <c r="L299" s="13" t="n"/>
      <c r="M299" s="14">
        <f>IFERROR(IF(A299="","",IFERROR(VLOOKUP(A299,Raw_PriorMonth!A:E,5,FALSE),0)),0)</f>
        <v/>
      </c>
      <c r="N299" s="14">
        <f>IF(A299="","",IFERROR(E299,0)+IFERROR(M299,0))</f>
        <v/>
      </c>
      <c r="O299" s="15">
        <f>IF(A299="","",IF(N299&gt;=28,TRUE,FALSE))</f>
        <v/>
      </c>
      <c r="P299" s="15">
        <f>IF(A299="","",OR(G299=TRUE,O299=TRUE))</f>
        <v/>
      </c>
      <c r="Q299" s="16">
        <f>IF(A299="","",IFERROR(H299,0)+IFERROR(I299,0)+IFERROR(J299,0)+IFERROR(K299,0)+IFERROR(L299,0))</f>
        <v/>
      </c>
      <c r="R299" s="16">
        <f>IF(A299="","",IF(P299=TRUE,0,Q299))</f>
        <v/>
      </c>
      <c r="S299" s="16">
        <f>IF(A299="","",IF(P299=TRUE,0,IFERROR(H299,0)))</f>
        <v/>
      </c>
      <c r="T299" s="16">
        <f>IF(A299="","",IF(P299=TRUE,0,IFERROR(I299,0)))</f>
        <v/>
      </c>
      <c r="U299" s="16">
        <f>IF(A299="","",IF(P299=TRUE,0,IFERROR(J299,0)))</f>
        <v/>
      </c>
      <c r="V299" s="16">
        <f>IF(A299="","",IF(P299=TRUE,0,IFERROR(K299,0)))</f>
        <v/>
      </c>
      <c r="W299" s="16">
        <f>IF(A299="","",IF(P299=TRUE,0,IFERROR(L299,0)))</f>
        <v/>
      </c>
      <c r="X299" s="16">
        <f>IF(A299="","",IF(P299=TRUE,0,IFERROR(H299,0)+IFERROR(I299,0)+IFERROR(L299,0)))</f>
        <v/>
      </c>
      <c r="Y299" s="16">
        <f>IF(A299="",0,IF(G299=TRUE,IFERROR(H299,0)+IFERROR(I299,0)+IFERROR(J299,0)+IFERROR(K299,0)+IFERROR(L299,0),0))</f>
        <v/>
      </c>
      <c r="Z299" s="16">
        <f>IF(A299="",0,IF(AND(O299=TRUE,G299&lt;&gt;TRUE),IFERROR(H299,0)+IFERROR(I299,0)+IFERROR(J299,0)+IFERROR(K299,0)+IFERROR(L299,0),0))</f>
        <v/>
      </c>
    </row>
    <row r="300">
      <c r="A300" s="10" t="n"/>
      <c r="B300" s="10" t="n"/>
      <c r="C300" s="11" t="n"/>
      <c r="D300" s="11" t="n"/>
      <c r="E300" s="10" t="n"/>
      <c r="F300" s="10" t="n"/>
      <c r="G300" s="12" t="n"/>
      <c r="H300" s="13" t="n"/>
      <c r="I300" s="13" t="n"/>
      <c r="J300" s="13" t="n"/>
      <c r="K300" s="13" t="n"/>
      <c r="L300" s="13" t="n"/>
      <c r="M300" s="14">
        <f>IFERROR(IF(A300="","",IFERROR(VLOOKUP(A300,Raw_PriorMonth!A:E,5,FALSE),0)),0)</f>
        <v/>
      </c>
      <c r="N300" s="14">
        <f>IF(A300="","",IFERROR(E300,0)+IFERROR(M300,0))</f>
        <v/>
      </c>
      <c r="O300" s="15">
        <f>IF(A300="","",IF(N300&gt;=28,TRUE,FALSE))</f>
        <v/>
      </c>
      <c r="P300" s="15">
        <f>IF(A300="","",OR(G300=TRUE,O300=TRUE))</f>
        <v/>
      </c>
      <c r="Q300" s="16">
        <f>IF(A300="","",IFERROR(H300,0)+IFERROR(I300,0)+IFERROR(J300,0)+IFERROR(K300,0)+IFERROR(L300,0))</f>
        <v/>
      </c>
      <c r="R300" s="16">
        <f>IF(A300="","",IF(P300=TRUE,0,Q300))</f>
        <v/>
      </c>
      <c r="S300" s="16">
        <f>IF(A300="","",IF(P300=TRUE,0,IFERROR(H300,0)))</f>
        <v/>
      </c>
      <c r="T300" s="16">
        <f>IF(A300="","",IF(P300=TRUE,0,IFERROR(I300,0)))</f>
        <v/>
      </c>
      <c r="U300" s="16">
        <f>IF(A300="","",IF(P300=TRUE,0,IFERROR(J300,0)))</f>
        <v/>
      </c>
      <c r="V300" s="16">
        <f>IF(A300="","",IF(P300=TRUE,0,IFERROR(K300,0)))</f>
        <v/>
      </c>
      <c r="W300" s="16">
        <f>IF(A300="","",IF(P300=TRUE,0,IFERROR(L300,0)))</f>
        <v/>
      </c>
      <c r="X300" s="16">
        <f>IF(A300="","",IF(P300=TRUE,0,IFERROR(H300,0)+IFERROR(I300,0)+IFERROR(L300,0)))</f>
        <v/>
      </c>
      <c r="Y300" s="16">
        <f>IF(A300="",0,IF(G300=TRUE,IFERROR(H300,0)+IFERROR(I300,0)+IFERROR(J300,0)+IFERROR(K300,0)+IFERROR(L300,0),0))</f>
        <v/>
      </c>
      <c r="Z300" s="16">
        <f>IF(A300="",0,IF(AND(O300=TRUE,G300&lt;&gt;TRUE),IFERROR(H300,0)+IFERROR(I300,0)+IFERROR(J300,0)+IFERROR(K300,0)+IFERROR(L300,0),0))</f>
        <v/>
      </c>
    </row>
    <row r="301">
      <c r="A301" s="10" t="n"/>
      <c r="B301" s="10" t="n"/>
      <c r="C301" s="11" t="n"/>
      <c r="D301" s="11" t="n"/>
      <c r="E301" s="10" t="n"/>
      <c r="F301" s="10" t="n"/>
      <c r="G301" s="12" t="n"/>
      <c r="H301" s="13" t="n"/>
      <c r="I301" s="13" t="n"/>
      <c r="J301" s="13" t="n"/>
      <c r="K301" s="13" t="n"/>
      <c r="L301" s="13" t="n"/>
      <c r="M301" s="14">
        <f>IFERROR(IF(A301="","",IFERROR(VLOOKUP(A301,Raw_PriorMonth!A:E,5,FALSE),0)),0)</f>
        <v/>
      </c>
      <c r="N301" s="14">
        <f>IF(A301="","",IFERROR(E301,0)+IFERROR(M301,0))</f>
        <v/>
      </c>
      <c r="O301" s="15">
        <f>IF(A301="","",IF(N301&gt;=28,TRUE,FALSE))</f>
        <v/>
      </c>
      <c r="P301" s="15">
        <f>IF(A301="","",OR(G301=TRUE,O301=TRUE))</f>
        <v/>
      </c>
      <c r="Q301" s="16">
        <f>IF(A301="","",IFERROR(H301,0)+IFERROR(I301,0)+IFERROR(J301,0)+IFERROR(K301,0)+IFERROR(L301,0))</f>
        <v/>
      </c>
      <c r="R301" s="16">
        <f>IF(A301="","",IF(P301=TRUE,0,Q301))</f>
        <v/>
      </c>
      <c r="S301" s="16">
        <f>IF(A301="","",IF(P301=TRUE,0,IFERROR(H301,0)))</f>
        <v/>
      </c>
      <c r="T301" s="16">
        <f>IF(A301="","",IF(P301=TRUE,0,IFERROR(I301,0)))</f>
        <v/>
      </c>
      <c r="U301" s="16">
        <f>IF(A301="","",IF(P301=TRUE,0,IFERROR(J301,0)))</f>
        <v/>
      </c>
      <c r="V301" s="16">
        <f>IF(A301="","",IF(P301=TRUE,0,IFERROR(K301,0)))</f>
        <v/>
      </c>
      <c r="W301" s="16">
        <f>IF(A301="","",IF(P301=TRUE,0,IFERROR(L301,0)))</f>
        <v/>
      </c>
      <c r="X301" s="16">
        <f>IF(A301="","",IF(P301=TRUE,0,IFERROR(H301,0)+IFERROR(I301,0)+IFERROR(L301,0)))</f>
        <v/>
      </c>
      <c r="Y301" s="16">
        <f>IF(A301="",0,IF(G301=TRUE,IFERROR(H301,0)+IFERROR(I301,0)+IFERROR(J301,0)+IFERROR(K301,0)+IFERROR(L301,0),0))</f>
        <v/>
      </c>
      <c r="Z301" s="16">
        <f>IF(A301="",0,IF(AND(O301=TRUE,G301&lt;&gt;TRUE),IFERROR(H301,0)+IFERROR(I301,0)+IFERROR(J301,0)+IFERROR(K301,0)+IFERROR(L301,0),0))</f>
        <v/>
      </c>
    </row>
    <row r="302">
      <c r="A302" s="10" t="n"/>
      <c r="B302" s="10" t="n"/>
      <c r="C302" s="11" t="n"/>
      <c r="D302" s="11" t="n"/>
      <c r="E302" s="10" t="n"/>
      <c r="F302" s="10" t="n"/>
      <c r="G302" s="12" t="n"/>
      <c r="H302" s="13" t="n"/>
      <c r="I302" s="13" t="n"/>
      <c r="J302" s="13" t="n"/>
      <c r="K302" s="13" t="n"/>
      <c r="L302" s="13" t="n"/>
      <c r="M302" s="14">
        <f>IFERROR(IF(A302="","",IFERROR(VLOOKUP(A302,Raw_PriorMonth!A:E,5,FALSE),0)),0)</f>
        <v/>
      </c>
      <c r="N302" s="14">
        <f>IF(A302="","",IFERROR(E302,0)+IFERROR(M302,0))</f>
        <v/>
      </c>
      <c r="O302" s="15">
        <f>IF(A302="","",IF(N302&gt;=28,TRUE,FALSE))</f>
        <v/>
      </c>
      <c r="P302" s="15">
        <f>IF(A302="","",OR(G302=TRUE,O302=TRUE))</f>
        <v/>
      </c>
      <c r="Q302" s="16">
        <f>IF(A302="","",IFERROR(H302,0)+IFERROR(I302,0)+IFERROR(J302,0)+IFERROR(K302,0)+IFERROR(L302,0))</f>
        <v/>
      </c>
      <c r="R302" s="16">
        <f>IF(A302="","",IF(P302=TRUE,0,Q302))</f>
        <v/>
      </c>
      <c r="S302" s="16">
        <f>IF(A302="","",IF(P302=TRUE,0,IFERROR(H302,0)))</f>
        <v/>
      </c>
      <c r="T302" s="16">
        <f>IF(A302="","",IF(P302=TRUE,0,IFERROR(I302,0)))</f>
        <v/>
      </c>
      <c r="U302" s="16">
        <f>IF(A302="","",IF(P302=TRUE,0,IFERROR(J302,0)))</f>
        <v/>
      </c>
      <c r="V302" s="16">
        <f>IF(A302="","",IF(P302=TRUE,0,IFERROR(K302,0)))</f>
        <v/>
      </c>
      <c r="W302" s="16">
        <f>IF(A302="","",IF(P302=TRUE,0,IFERROR(L302,0)))</f>
        <v/>
      </c>
      <c r="X302" s="16">
        <f>IF(A302="","",IF(P302=TRUE,0,IFERROR(H302,0)+IFERROR(I302,0)+IFERROR(L302,0)))</f>
        <v/>
      </c>
      <c r="Y302" s="16">
        <f>IF(A302="",0,IF(G302=TRUE,IFERROR(H302,0)+IFERROR(I302,0)+IFERROR(J302,0)+IFERROR(K302,0)+IFERROR(L302,0),0))</f>
        <v/>
      </c>
      <c r="Z302" s="16">
        <f>IF(A302="",0,IF(AND(O302=TRUE,G302&lt;&gt;TRUE),IFERROR(H302,0)+IFERROR(I302,0)+IFERROR(J302,0)+IFERROR(K302,0)+IFERROR(L302,0),0))</f>
        <v/>
      </c>
    </row>
    <row r="303">
      <c r="A303" s="10" t="n"/>
      <c r="B303" s="10" t="n"/>
      <c r="C303" s="11" t="n"/>
      <c r="D303" s="11" t="n"/>
      <c r="E303" s="10" t="n"/>
      <c r="F303" s="10" t="n"/>
      <c r="G303" s="12" t="n"/>
      <c r="H303" s="13" t="n"/>
      <c r="I303" s="13" t="n"/>
      <c r="J303" s="13" t="n"/>
      <c r="K303" s="13" t="n"/>
      <c r="L303" s="13" t="n"/>
      <c r="M303" s="14">
        <f>IFERROR(IF(A303="","",IFERROR(VLOOKUP(A303,Raw_PriorMonth!A:E,5,FALSE),0)),0)</f>
        <v/>
      </c>
      <c r="N303" s="14">
        <f>IF(A303="","",IFERROR(E303,0)+IFERROR(M303,0))</f>
        <v/>
      </c>
      <c r="O303" s="15">
        <f>IF(A303="","",IF(N303&gt;=28,TRUE,FALSE))</f>
        <v/>
      </c>
      <c r="P303" s="15">
        <f>IF(A303="","",OR(G303=TRUE,O303=TRUE))</f>
        <v/>
      </c>
      <c r="Q303" s="16">
        <f>IF(A303="","",IFERROR(H303,0)+IFERROR(I303,0)+IFERROR(J303,0)+IFERROR(K303,0)+IFERROR(L303,0))</f>
        <v/>
      </c>
      <c r="R303" s="16">
        <f>IF(A303="","",IF(P303=TRUE,0,Q303))</f>
        <v/>
      </c>
      <c r="S303" s="16">
        <f>IF(A303="","",IF(P303=TRUE,0,IFERROR(H303,0)))</f>
        <v/>
      </c>
      <c r="T303" s="16">
        <f>IF(A303="","",IF(P303=TRUE,0,IFERROR(I303,0)))</f>
        <v/>
      </c>
      <c r="U303" s="16">
        <f>IF(A303="","",IF(P303=TRUE,0,IFERROR(J303,0)))</f>
        <v/>
      </c>
      <c r="V303" s="16">
        <f>IF(A303="","",IF(P303=TRUE,0,IFERROR(K303,0)))</f>
        <v/>
      </c>
      <c r="W303" s="16">
        <f>IF(A303="","",IF(P303=TRUE,0,IFERROR(L303,0)))</f>
        <v/>
      </c>
      <c r="X303" s="16">
        <f>IF(A303="","",IF(P303=TRUE,0,IFERROR(H303,0)+IFERROR(I303,0)+IFERROR(L303,0)))</f>
        <v/>
      </c>
      <c r="Y303" s="16">
        <f>IF(A303="",0,IF(G303=TRUE,IFERROR(H303,0)+IFERROR(I303,0)+IFERROR(J303,0)+IFERROR(K303,0)+IFERROR(L303,0),0))</f>
        <v/>
      </c>
      <c r="Z303" s="16">
        <f>IF(A303="",0,IF(AND(O303=TRUE,G303&lt;&gt;TRUE),IFERROR(H303,0)+IFERROR(I303,0)+IFERROR(J303,0)+IFERROR(K303,0)+IFERROR(L303,0),0))</f>
        <v/>
      </c>
    </row>
    <row r="304">
      <c r="A304" s="10" t="n"/>
      <c r="B304" s="10" t="n"/>
      <c r="C304" s="11" t="n"/>
      <c r="D304" s="11" t="n"/>
      <c r="E304" s="10" t="n"/>
      <c r="F304" s="10" t="n"/>
      <c r="G304" s="12" t="n"/>
      <c r="H304" s="13" t="n"/>
      <c r="I304" s="13" t="n"/>
      <c r="J304" s="13" t="n"/>
      <c r="K304" s="13" t="n"/>
      <c r="L304" s="13" t="n"/>
      <c r="M304" s="14">
        <f>IFERROR(IF(A304="","",IFERROR(VLOOKUP(A304,Raw_PriorMonth!A:E,5,FALSE),0)),0)</f>
        <v/>
      </c>
      <c r="N304" s="14">
        <f>IF(A304="","",IFERROR(E304,0)+IFERROR(M304,0))</f>
        <v/>
      </c>
      <c r="O304" s="15">
        <f>IF(A304="","",IF(N304&gt;=28,TRUE,FALSE))</f>
        <v/>
      </c>
      <c r="P304" s="15">
        <f>IF(A304="","",OR(G304=TRUE,O304=TRUE))</f>
        <v/>
      </c>
      <c r="Q304" s="16">
        <f>IF(A304="","",IFERROR(H304,0)+IFERROR(I304,0)+IFERROR(J304,0)+IFERROR(K304,0)+IFERROR(L304,0))</f>
        <v/>
      </c>
      <c r="R304" s="16">
        <f>IF(A304="","",IF(P304=TRUE,0,Q304))</f>
        <v/>
      </c>
      <c r="S304" s="16">
        <f>IF(A304="","",IF(P304=TRUE,0,IFERROR(H304,0)))</f>
        <v/>
      </c>
      <c r="T304" s="16">
        <f>IF(A304="","",IF(P304=TRUE,0,IFERROR(I304,0)))</f>
        <v/>
      </c>
      <c r="U304" s="16">
        <f>IF(A304="","",IF(P304=TRUE,0,IFERROR(J304,0)))</f>
        <v/>
      </c>
      <c r="V304" s="16">
        <f>IF(A304="","",IF(P304=TRUE,0,IFERROR(K304,0)))</f>
        <v/>
      </c>
      <c r="W304" s="16">
        <f>IF(A304="","",IF(P304=TRUE,0,IFERROR(L304,0)))</f>
        <v/>
      </c>
      <c r="X304" s="16">
        <f>IF(A304="","",IF(P304=TRUE,0,IFERROR(H304,0)+IFERROR(I304,0)+IFERROR(L304,0)))</f>
        <v/>
      </c>
      <c r="Y304" s="16">
        <f>IF(A304="",0,IF(G304=TRUE,IFERROR(H304,0)+IFERROR(I304,0)+IFERROR(J304,0)+IFERROR(K304,0)+IFERROR(L304,0),0))</f>
        <v/>
      </c>
      <c r="Z304" s="16">
        <f>IF(A304="",0,IF(AND(O304=TRUE,G304&lt;&gt;TRUE),IFERROR(H304,0)+IFERROR(I304,0)+IFERROR(J304,0)+IFERROR(K304,0)+IFERROR(L304,0),0))</f>
        <v/>
      </c>
    </row>
    <row r="305">
      <c r="A305" s="10" t="n"/>
      <c r="B305" s="10" t="n"/>
      <c r="C305" s="11" t="n"/>
      <c r="D305" s="11" t="n"/>
      <c r="E305" s="10" t="n"/>
      <c r="F305" s="10" t="n"/>
      <c r="G305" s="12" t="n"/>
      <c r="H305" s="13" t="n"/>
      <c r="I305" s="13" t="n"/>
      <c r="J305" s="13" t="n"/>
      <c r="K305" s="13" t="n"/>
      <c r="L305" s="13" t="n"/>
      <c r="M305" s="14">
        <f>IFERROR(IF(A305="","",IFERROR(VLOOKUP(A305,Raw_PriorMonth!A:E,5,FALSE),0)),0)</f>
        <v/>
      </c>
      <c r="N305" s="14">
        <f>IF(A305="","",IFERROR(E305,0)+IFERROR(M305,0))</f>
        <v/>
      </c>
      <c r="O305" s="15">
        <f>IF(A305="","",IF(N305&gt;=28,TRUE,FALSE))</f>
        <v/>
      </c>
      <c r="P305" s="15">
        <f>IF(A305="","",OR(G305=TRUE,O305=TRUE))</f>
        <v/>
      </c>
      <c r="Q305" s="16">
        <f>IF(A305="","",IFERROR(H305,0)+IFERROR(I305,0)+IFERROR(J305,0)+IFERROR(K305,0)+IFERROR(L305,0))</f>
        <v/>
      </c>
      <c r="R305" s="16">
        <f>IF(A305="","",IF(P305=TRUE,0,Q305))</f>
        <v/>
      </c>
      <c r="S305" s="16">
        <f>IF(A305="","",IF(P305=TRUE,0,IFERROR(H305,0)))</f>
        <v/>
      </c>
      <c r="T305" s="16">
        <f>IF(A305="","",IF(P305=TRUE,0,IFERROR(I305,0)))</f>
        <v/>
      </c>
      <c r="U305" s="16">
        <f>IF(A305="","",IF(P305=TRUE,0,IFERROR(J305,0)))</f>
        <v/>
      </c>
      <c r="V305" s="16">
        <f>IF(A305="","",IF(P305=TRUE,0,IFERROR(K305,0)))</f>
        <v/>
      </c>
      <c r="W305" s="16">
        <f>IF(A305="","",IF(P305=TRUE,0,IFERROR(L305,0)))</f>
        <v/>
      </c>
      <c r="X305" s="16">
        <f>IF(A305="","",IF(P305=TRUE,0,IFERROR(H305,0)+IFERROR(I305,0)+IFERROR(L305,0)))</f>
        <v/>
      </c>
      <c r="Y305" s="16">
        <f>IF(A305="",0,IF(G305=TRUE,IFERROR(H305,0)+IFERROR(I305,0)+IFERROR(J305,0)+IFERROR(K305,0)+IFERROR(L305,0),0))</f>
        <v/>
      </c>
      <c r="Z305" s="16">
        <f>IF(A305="",0,IF(AND(O305=TRUE,G305&lt;&gt;TRUE),IFERROR(H305,0)+IFERROR(I305,0)+IFERROR(J305,0)+IFERROR(K305,0)+IFERROR(L305,0),0))</f>
        <v/>
      </c>
    </row>
    <row r="306">
      <c r="A306" s="10" t="n"/>
      <c r="B306" s="10" t="n"/>
      <c r="C306" s="11" t="n"/>
      <c r="D306" s="11" t="n"/>
      <c r="E306" s="10" t="n"/>
      <c r="F306" s="10" t="n"/>
      <c r="G306" s="12" t="n"/>
      <c r="H306" s="13" t="n"/>
      <c r="I306" s="13" t="n"/>
      <c r="J306" s="13" t="n"/>
      <c r="K306" s="13" t="n"/>
      <c r="L306" s="13" t="n"/>
      <c r="M306" s="14">
        <f>IFERROR(IF(A306="","",IFERROR(VLOOKUP(A306,Raw_PriorMonth!A:E,5,FALSE),0)),0)</f>
        <v/>
      </c>
      <c r="N306" s="14">
        <f>IF(A306="","",IFERROR(E306,0)+IFERROR(M306,0))</f>
        <v/>
      </c>
      <c r="O306" s="15">
        <f>IF(A306="","",IF(N306&gt;=28,TRUE,FALSE))</f>
        <v/>
      </c>
      <c r="P306" s="15">
        <f>IF(A306="","",OR(G306=TRUE,O306=TRUE))</f>
        <v/>
      </c>
      <c r="Q306" s="16">
        <f>IF(A306="","",IFERROR(H306,0)+IFERROR(I306,0)+IFERROR(J306,0)+IFERROR(K306,0)+IFERROR(L306,0))</f>
        <v/>
      </c>
      <c r="R306" s="16">
        <f>IF(A306="","",IF(P306=TRUE,0,Q306))</f>
        <v/>
      </c>
      <c r="S306" s="16">
        <f>IF(A306="","",IF(P306=TRUE,0,IFERROR(H306,0)))</f>
        <v/>
      </c>
      <c r="T306" s="16">
        <f>IF(A306="","",IF(P306=TRUE,0,IFERROR(I306,0)))</f>
        <v/>
      </c>
      <c r="U306" s="16">
        <f>IF(A306="","",IF(P306=TRUE,0,IFERROR(J306,0)))</f>
        <v/>
      </c>
      <c r="V306" s="16">
        <f>IF(A306="","",IF(P306=TRUE,0,IFERROR(K306,0)))</f>
        <v/>
      </c>
      <c r="W306" s="16">
        <f>IF(A306="","",IF(P306=TRUE,0,IFERROR(L306,0)))</f>
        <v/>
      </c>
      <c r="X306" s="16">
        <f>IF(A306="","",IF(P306=TRUE,0,IFERROR(H306,0)+IFERROR(I306,0)+IFERROR(L306,0)))</f>
        <v/>
      </c>
      <c r="Y306" s="16">
        <f>IF(A306="",0,IF(G306=TRUE,IFERROR(H306,0)+IFERROR(I306,0)+IFERROR(J306,0)+IFERROR(K306,0)+IFERROR(L306,0),0))</f>
        <v/>
      </c>
      <c r="Z306" s="16">
        <f>IF(A306="",0,IF(AND(O306=TRUE,G306&lt;&gt;TRUE),IFERROR(H306,0)+IFERROR(I306,0)+IFERROR(J306,0)+IFERROR(K306,0)+IFERROR(L306,0),0))</f>
        <v/>
      </c>
    </row>
    <row r="307">
      <c r="A307" s="10" t="n"/>
      <c r="B307" s="10" t="n"/>
      <c r="C307" s="11" t="n"/>
      <c r="D307" s="11" t="n"/>
      <c r="E307" s="10" t="n"/>
      <c r="F307" s="10" t="n"/>
      <c r="G307" s="12" t="n"/>
      <c r="H307" s="13" t="n"/>
      <c r="I307" s="13" t="n"/>
      <c r="J307" s="13" t="n"/>
      <c r="K307" s="13" t="n"/>
      <c r="L307" s="13" t="n"/>
      <c r="M307" s="14">
        <f>IFERROR(IF(A307="","",IFERROR(VLOOKUP(A307,Raw_PriorMonth!A:E,5,FALSE),0)),0)</f>
        <v/>
      </c>
      <c r="N307" s="14">
        <f>IF(A307="","",IFERROR(E307,0)+IFERROR(M307,0))</f>
        <v/>
      </c>
      <c r="O307" s="15">
        <f>IF(A307="","",IF(N307&gt;=28,TRUE,FALSE))</f>
        <v/>
      </c>
      <c r="P307" s="15">
        <f>IF(A307="","",OR(G307=TRUE,O307=TRUE))</f>
        <v/>
      </c>
      <c r="Q307" s="16">
        <f>IF(A307="","",IFERROR(H307,0)+IFERROR(I307,0)+IFERROR(J307,0)+IFERROR(K307,0)+IFERROR(L307,0))</f>
        <v/>
      </c>
      <c r="R307" s="16">
        <f>IF(A307="","",IF(P307=TRUE,0,Q307))</f>
        <v/>
      </c>
      <c r="S307" s="16">
        <f>IF(A307="","",IF(P307=TRUE,0,IFERROR(H307,0)))</f>
        <v/>
      </c>
      <c r="T307" s="16">
        <f>IF(A307="","",IF(P307=TRUE,0,IFERROR(I307,0)))</f>
        <v/>
      </c>
      <c r="U307" s="16">
        <f>IF(A307="","",IF(P307=TRUE,0,IFERROR(J307,0)))</f>
        <v/>
      </c>
      <c r="V307" s="16">
        <f>IF(A307="","",IF(P307=TRUE,0,IFERROR(K307,0)))</f>
        <v/>
      </c>
      <c r="W307" s="16">
        <f>IF(A307="","",IF(P307=TRUE,0,IFERROR(L307,0)))</f>
        <v/>
      </c>
      <c r="X307" s="16">
        <f>IF(A307="","",IF(P307=TRUE,0,IFERROR(H307,0)+IFERROR(I307,0)+IFERROR(L307,0)))</f>
        <v/>
      </c>
      <c r="Y307" s="16">
        <f>IF(A307="",0,IF(G307=TRUE,IFERROR(H307,0)+IFERROR(I307,0)+IFERROR(J307,0)+IFERROR(K307,0)+IFERROR(L307,0),0))</f>
        <v/>
      </c>
      <c r="Z307" s="16">
        <f>IF(A307="",0,IF(AND(O307=TRUE,G307&lt;&gt;TRUE),IFERROR(H307,0)+IFERROR(I307,0)+IFERROR(J307,0)+IFERROR(K307,0)+IFERROR(L307,0),0))</f>
        <v/>
      </c>
    </row>
    <row r="308">
      <c r="A308" s="10" t="n"/>
      <c r="B308" s="10" t="n"/>
      <c r="C308" s="11" t="n"/>
      <c r="D308" s="11" t="n"/>
      <c r="E308" s="10" t="n"/>
      <c r="F308" s="10" t="n"/>
      <c r="G308" s="12" t="n"/>
      <c r="H308" s="13" t="n"/>
      <c r="I308" s="13" t="n"/>
      <c r="J308" s="13" t="n"/>
      <c r="K308" s="13" t="n"/>
      <c r="L308" s="13" t="n"/>
      <c r="M308" s="14">
        <f>IFERROR(IF(A308="","",IFERROR(VLOOKUP(A308,Raw_PriorMonth!A:E,5,FALSE),0)),0)</f>
        <v/>
      </c>
      <c r="N308" s="14">
        <f>IF(A308="","",IFERROR(E308,0)+IFERROR(M308,0))</f>
        <v/>
      </c>
      <c r="O308" s="15">
        <f>IF(A308="","",IF(N308&gt;=28,TRUE,FALSE))</f>
        <v/>
      </c>
      <c r="P308" s="15">
        <f>IF(A308="","",OR(G308=TRUE,O308=TRUE))</f>
        <v/>
      </c>
      <c r="Q308" s="16">
        <f>IF(A308="","",IFERROR(H308,0)+IFERROR(I308,0)+IFERROR(J308,0)+IFERROR(K308,0)+IFERROR(L308,0))</f>
        <v/>
      </c>
      <c r="R308" s="16">
        <f>IF(A308="","",IF(P308=TRUE,0,Q308))</f>
        <v/>
      </c>
      <c r="S308" s="16">
        <f>IF(A308="","",IF(P308=TRUE,0,IFERROR(H308,0)))</f>
        <v/>
      </c>
      <c r="T308" s="16">
        <f>IF(A308="","",IF(P308=TRUE,0,IFERROR(I308,0)))</f>
        <v/>
      </c>
      <c r="U308" s="16">
        <f>IF(A308="","",IF(P308=TRUE,0,IFERROR(J308,0)))</f>
        <v/>
      </c>
      <c r="V308" s="16">
        <f>IF(A308="","",IF(P308=TRUE,0,IFERROR(K308,0)))</f>
        <v/>
      </c>
      <c r="W308" s="16">
        <f>IF(A308="","",IF(P308=TRUE,0,IFERROR(L308,0)))</f>
        <v/>
      </c>
      <c r="X308" s="16">
        <f>IF(A308="","",IF(P308=TRUE,0,IFERROR(H308,0)+IFERROR(I308,0)+IFERROR(L308,0)))</f>
        <v/>
      </c>
      <c r="Y308" s="16">
        <f>IF(A308="",0,IF(G308=TRUE,IFERROR(H308,0)+IFERROR(I308,0)+IFERROR(J308,0)+IFERROR(K308,0)+IFERROR(L308,0),0))</f>
        <v/>
      </c>
      <c r="Z308" s="16">
        <f>IF(A308="",0,IF(AND(O308=TRUE,G308&lt;&gt;TRUE),IFERROR(H308,0)+IFERROR(I308,0)+IFERROR(J308,0)+IFERROR(K308,0)+IFERROR(L308,0),0))</f>
        <v/>
      </c>
    </row>
    <row r="309">
      <c r="A309" s="10" t="n"/>
      <c r="B309" s="10" t="n"/>
      <c r="C309" s="11" t="n"/>
      <c r="D309" s="11" t="n"/>
      <c r="E309" s="10" t="n"/>
      <c r="F309" s="10" t="n"/>
      <c r="G309" s="12" t="n"/>
      <c r="H309" s="13" t="n"/>
      <c r="I309" s="13" t="n"/>
      <c r="J309" s="13" t="n"/>
      <c r="K309" s="13" t="n"/>
      <c r="L309" s="13" t="n"/>
      <c r="M309" s="14">
        <f>IFERROR(IF(A309="","",IFERROR(VLOOKUP(A309,Raw_PriorMonth!A:E,5,FALSE),0)),0)</f>
        <v/>
      </c>
      <c r="N309" s="14">
        <f>IF(A309="","",IFERROR(E309,0)+IFERROR(M309,0))</f>
        <v/>
      </c>
      <c r="O309" s="15">
        <f>IF(A309="","",IF(N309&gt;=28,TRUE,FALSE))</f>
        <v/>
      </c>
      <c r="P309" s="15">
        <f>IF(A309="","",OR(G309=TRUE,O309=TRUE))</f>
        <v/>
      </c>
      <c r="Q309" s="16">
        <f>IF(A309="","",IFERROR(H309,0)+IFERROR(I309,0)+IFERROR(J309,0)+IFERROR(K309,0)+IFERROR(L309,0))</f>
        <v/>
      </c>
      <c r="R309" s="16">
        <f>IF(A309="","",IF(P309=TRUE,0,Q309))</f>
        <v/>
      </c>
      <c r="S309" s="16">
        <f>IF(A309="","",IF(P309=TRUE,0,IFERROR(H309,0)))</f>
        <v/>
      </c>
      <c r="T309" s="16">
        <f>IF(A309="","",IF(P309=TRUE,0,IFERROR(I309,0)))</f>
        <v/>
      </c>
      <c r="U309" s="16">
        <f>IF(A309="","",IF(P309=TRUE,0,IFERROR(J309,0)))</f>
        <v/>
      </c>
      <c r="V309" s="16">
        <f>IF(A309="","",IF(P309=TRUE,0,IFERROR(K309,0)))</f>
        <v/>
      </c>
      <c r="W309" s="16">
        <f>IF(A309="","",IF(P309=TRUE,0,IFERROR(L309,0)))</f>
        <v/>
      </c>
      <c r="X309" s="16">
        <f>IF(A309="","",IF(P309=TRUE,0,IFERROR(H309,0)+IFERROR(I309,0)+IFERROR(L309,0)))</f>
        <v/>
      </c>
      <c r="Y309" s="16">
        <f>IF(A309="",0,IF(G309=TRUE,IFERROR(H309,0)+IFERROR(I309,0)+IFERROR(J309,0)+IFERROR(K309,0)+IFERROR(L309,0),0))</f>
        <v/>
      </c>
      <c r="Z309" s="16">
        <f>IF(A309="",0,IF(AND(O309=TRUE,G309&lt;&gt;TRUE),IFERROR(H309,0)+IFERROR(I309,0)+IFERROR(J309,0)+IFERROR(K309,0)+IFERROR(L309,0),0))</f>
        <v/>
      </c>
    </row>
    <row r="310">
      <c r="A310" s="10" t="n"/>
      <c r="B310" s="10" t="n"/>
      <c r="C310" s="11" t="n"/>
      <c r="D310" s="11" t="n"/>
      <c r="E310" s="10" t="n"/>
      <c r="F310" s="10" t="n"/>
      <c r="G310" s="12" t="n"/>
      <c r="H310" s="13" t="n"/>
      <c r="I310" s="13" t="n"/>
      <c r="J310" s="13" t="n"/>
      <c r="K310" s="13" t="n"/>
      <c r="L310" s="13" t="n"/>
      <c r="M310" s="14">
        <f>IFERROR(IF(A310="","",IFERROR(VLOOKUP(A310,Raw_PriorMonth!A:E,5,FALSE),0)),0)</f>
        <v/>
      </c>
      <c r="N310" s="14">
        <f>IF(A310="","",IFERROR(E310,0)+IFERROR(M310,0))</f>
        <v/>
      </c>
      <c r="O310" s="15">
        <f>IF(A310="","",IF(N310&gt;=28,TRUE,FALSE))</f>
        <v/>
      </c>
      <c r="P310" s="15">
        <f>IF(A310="","",OR(G310=TRUE,O310=TRUE))</f>
        <v/>
      </c>
      <c r="Q310" s="16">
        <f>IF(A310="","",IFERROR(H310,0)+IFERROR(I310,0)+IFERROR(J310,0)+IFERROR(K310,0)+IFERROR(L310,0))</f>
        <v/>
      </c>
      <c r="R310" s="16">
        <f>IF(A310="","",IF(P310=TRUE,0,Q310))</f>
        <v/>
      </c>
      <c r="S310" s="16">
        <f>IF(A310="","",IF(P310=TRUE,0,IFERROR(H310,0)))</f>
        <v/>
      </c>
      <c r="T310" s="16">
        <f>IF(A310="","",IF(P310=TRUE,0,IFERROR(I310,0)))</f>
        <v/>
      </c>
      <c r="U310" s="16">
        <f>IF(A310="","",IF(P310=TRUE,0,IFERROR(J310,0)))</f>
        <v/>
      </c>
      <c r="V310" s="16">
        <f>IF(A310="","",IF(P310=TRUE,0,IFERROR(K310,0)))</f>
        <v/>
      </c>
      <c r="W310" s="16">
        <f>IF(A310="","",IF(P310=TRUE,0,IFERROR(L310,0)))</f>
        <v/>
      </c>
      <c r="X310" s="16">
        <f>IF(A310="","",IF(P310=TRUE,0,IFERROR(H310,0)+IFERROR(I310,0)+IFERROR(L310,0)))</f>
        <v/>
      </c>
      <c r="Y310" s="16">
        <f>IF(A310="",0,IF(G310=TRUE,IFERROR(H310,0)+IFERROR(I310,0)+IFERROR(J310,0)+IFERROR(K310,0)+IFERROR(L310,0),0))</f>
        <v/>
      </c>
      <c r="Z310" s="16">
        <f>IF(A310="",0,IF(AND(O310=TRUE,G310&lt;&gt;TRUE),IFERROR(H310,0)+IFERROR(I310,0)+IFERROR(J310,0)+IFERROR(K310,0)+IFERROR(L310,0),0))</f>
        <v/>
      </c>
    </row>
    <row r="311">
      <c r="A311" s="10" t="n"/>
      <c r="B311" s="10" t="n"/>
      <c r="C311" s="11" t="n"/>
      <c r="D311" s="11" t="n"/>
      <c r="E311" s="10" t="n"/>
      <c r="F311" s="10" t="n"/>
      <c r="G311" s="12" t="n"/>
      <c r="H311" s="13" t="n"/>
      <c r="I311" s="13" t="n"/>
      <c r="J311" s="13" t="n"/>
      <c r="K311" s="13" t="n"/>
      <c r="L311" s="13" t="n"/>
      <c r="M311" s="14">
        <f>IFERROR(IF(A311="","",IFERROR(VLOOKUP(A311,Raw_PriorMonth!A:E,5,FALSE),0)),0)</f>
        <v/>
      </c>
      <c r="N311" s="14">
        <f>IF(A311="","",IFERROR(E311,0)+IFERROR(M311,0))</f>
        <v/>
      </c>
      <c r="O311" s="15">
        <f>IF(A311="","",IF(N311&gt;=28,TRUE,FALSE))</f>
        <v/>
      </c>
      <c r="P311" s="15">
        <f>IF(A311="","",OR(G311=TRUE,O311=TRUE))</f>
        <v/>
      </c>
      <c r="Q311" s="16">
        <f>IF(A311="","",IFERROR(H311,0)+IFERROR(I311,0)+IFERROR(J311,0)+IFERROR(K311,0)+IFERROR(L311,0))</f>
        <v/>
      </c>
      <c r="R311" s="16">
        <f>IF(A311="","",IF(P311=TRUE,0,Q311))</f>
        <v/>
      </c>
      <c r="S311" s="16">
        <f>IF(A311="","",IF(P311=TRUE,0,IFERROR(H311,0)))</f>
        <v/>
      </c>
      <c r="T311" s="16">
        <f>IF(A311="","",IF(P311=TRUE,0,IFERROR(I311,0)))</f>
        <v/>
      </c>
      <c r="U311" s="16">
        <f>IF(A311="","",IF(P311=TRUE,0,IFERROR(J311,0)))</f>
        <v/>
      </c>
      <c r="V311" s="16">
        <f>IF(A311="","",IF(P311=TRUE,0,IFERROR(K311,0)))</f>
        <v/>
      </c>
      <c r="W311" s="16">
        <f>IF(A311="","",IF(P311=TRUE,0,IFERROR(L311,0)))</f>
        <v/>
      </c>
      <c r="X311" s="16">
        <f>IF(A311="","",IF(P311=TRUE,0,IFERROR(H311,0)+IFERROR(I311,0)+IFERROR(L311,0)))</f>
        <v/>
      </c>
      <c r="Y311" s="16">
        <f>IF(A311="",0,IF(G311=TRUE,IFERROR(H311,0)+IFERROR(I311,0)+IFERROR(J311,0)+IFERROR(K311,0)+IFERROR(L311,0),0))</f>
        <v/>
      </c>
      <c r="Z311" s="16">
        <f>IF(A311="",0,IF(AND(O311=TRUE,G311&lt;&gt;TRUE),IFERROR(H311,0)+IFERROR(I311,0)+IFERROR(J311,0)+IFERROR(K311,0)+IFERROR(L311,0),0))</f>
        <v/>
      </c>
    </row>
    <row r="312">
      <c r="A312" s="10" t="n"/>
      <c r="B312" s="10" t="n"/>
      <c r="C312" s="11" t="n"/>
      <c r="D312" s="11" t="n"/>
      <c r="E312" s="10" t="n"/>
      <c r="F312" s="10" t="n"/>
      <c r="G312" s="12" t="n"/>
      <c r="H312" s="13" t="n"/>
      <c r="I312" s="13" t="n"/>
      <c r="J312" s="13" t="n"/>
      <c r="K312" s="13" t="n"/>
      <c r="L312" s="13" t="n"/>
      <c r="M312" s="14">
        <f>IFERROR(IF(A312="","",IFERROR(VLOOKUP(A312,Raw_PriorMonth!A:E,5,FALSE),0)),0)</f>
        <v/>
      </c>
      <c r="N312" s="14">
        <f>IF(A312="","",IFERROR(E312,0)+IFERROR(M312,0))</f>
        <v/>
      </c>
      <c r="O312" s="15">
        <f>IF(A312="","",IF(N312&gt;=28,TRUE,FALSE))</f>
        <v/>
      </c>
      <c r="P312" s="15">
        <f>IF(A312="","",OR(G312=TRUE,O312=TRUE))</f>
        <v/>
      </c>
      <c r="Q312" s="16">
        <f>IF(A312="","",IFERROR(H312,0)+IFERROR(I312,0)+IFERROR(J312,0)+IFERROR(K312,0)+IFERROR(L312,0))</f>
        <v/>
      </c>
      <c r="R312" s="16">
        <f>IF(A312="","",IF(P312=TRUE,0,Q312))</f>
        <v/>
      </c>
      <c r="S312" s="16">
        <f>IF(A312="","",IF(P312=TRUE,0,IFERROR(H312,0)))</f>
        <v/>
      </c>
      <c r="T312" s="16">
        <f>IF(A312="","",IF(P312=TRUE,0,IFERROR(I312,0)))</f>
        <v/>
      </c>
      <c r="U312" s="16">
        <f>IF(A312="","",IF(P312=TRUE,0,IFERROR(J312,0)))</f>
        <v/>
      </c>
      <c r="V312" s="16">
        <f>IF(A312="","",IF(P312=TRUE,0,IFERROR(K312,0)))</f>
        <v/>
      </c>
      <c r="W312" s="16">
        <f>IF(A312="","",IF(P312=TRUE,0,IFERROR(L312,0)))</f>
        <v/>
      </c>
      <c r="X312" s="16">
        <f>IF(A312="","",IF(P312=TRUE,0,IFERROR(H312,0)+IFERROR(I312,0)+IFERROR(L312,0)))</f>
        <v/>
      </c>
      <c r="Y312" s="16">
        <f>IF(A312="",0,IF(G312=TRUE,IFERROR(H312,0)+IFERROR(I312,0)+IFERROR(J312,0)+IFERROR(K312,0)+IFERROR(L312,0),0))</f>
        <v/>
      </c>
      <c r="Z312" s="16">
        <f>IF(A312="",0,IF(AND(O312=TRUE,G312&lt;&gt;TRUE),IFERROR(H312,0)+IFERROR(I312,0)+IFERROR(J312,0)+IFERROR(K312,0)+IFERROR(L312,0),0))</f>
        <v/>
      </c>
    </row>
    <row r="313">
      <c r="A313" s="10" t="n"/>
      <c r="B313" s="10" t="n"/>
      <c r="C313" s="11" t="n"/>
      <c r="D313" s="11" t="n"/>
      <c r="E313" s="10" t="n"/>
      <c r="F313" s="10" t="n"/>
      <c r="G313" s="12" t="n"/>
      <c r="H313" s="13" t="n"/>
      <c r="I313" s="13" t="n"/>
      <c r="J313" s="13" t="n"/>
      <c r="K313" s="13" t="n"/>
      <c r="L313" s="13" t="n"/>
      <c r="M313" s="14">
        <f>IFERROR(IF(A313="","",IFERROR(VLOOKUP(A313,Raw_PriorMonth!A:E,5,FALSE),0)),0)</f>
        <v/>
      </c>
      <c r="N313" s="14">
        <f>IF(A313="","",IFERROR(E313,0)+IFERROR(M313,0))</f>
        <v/>
      </c>
      <c r="O313" s="15">
        <f>IF(A313="","",IF(N313&gt;=28,TRUE,FALSE))</f>
        <v/>
      </c>
      <c r="P313" s="15">
        <f>IF(A313="","",OR(G313=TRUE,O313=TRUE))</f>
        <v/>
      </c>
      <c r="Q313" s="16">
        <f>IF(A313="","",IFERROR(H313,0)+IFERROR(I313,0)+IFERROR(J313,0)+IFERROR(K313,0)+IFERROR(L313,0))</f>
        <v/>
      </c>
      <c r="R313" s="16">
        <f>IF(A313="","",IF(P313=TRUE,0,Q313))</f>
        <v/>
      </c>
      <c r="S313" s="16">
        <f>IF(A313="","",IF(P313=TRUE,0,IFERROR(H313,0)))</f>
        <v/>
      </c>
      <c r="T313" s="16">
        <f>IF(A313="","",IF(P313=TRUE,0,IFERROR(I313,0)))</f>
        <v/>
      </c>
      <c r="U313" s="16">
        <f>IF(A313="","",IF(P313=TRUE,0,IFERROR(J313,0)))</f>
        <v/>
      </c>
      <c r="V313" s="16">
        <f>IF(A313="","",IF(P313=TRUE,0,IFERROR(K313,0)))</f>
        <v/>
      </c>
      <c r="W313" s="16">
        <f>IF(A313="","",IF(P313=TRUE,0,IFERROR(L313,0)))</f>
        <v/>
      </c>
      <c r="X313" s="16">
        <f>IF(A313="","",IF(P313=TRUE,0,IFERROR(H313,0)+IFERROR(I313,0)+IFERROR(L313,0)))</f>
        <v/>
      </c>
      <c r="Y313" s="16">
        <f>IF(A313="",0,IF(G313=TRUE,IFERROR(H313,0)+IFERROR(I313,0)+IFERROR(J313,0)+IFERROR(K313,0)+IFERROR(L313,0),0))</f>
        <v/>
      </c>
      <c r="Z313" s="16">
        <f>IF(A313="",0,IF(AND(O313=TRUE,G313&lt;&gt;TRUE),IFERROR(H313,0)+IFERROR(I313,0)+IFERROR(J313,0)+IFERROR(K313,0)+IFERROR(L313,0),0))</f>
        <v/>
      </c>
    </row>
    <row r="314">
      <c r="A314" s="10" t="n"/>
      <c r="B314" s="10" t="n"/>
      <c r="C314" s="11" t="n"/>
      <c r="D314" s="11" t="n"/>
      <c r="E314" s="10" t="n"/>
      <c r="F314" s="10" t="n"/>
      <c r="G314" s="12" t="n"/>
      <c r="H314" s="13" t="n"/>
      <c r="I314" s="13" t="n"/>
      <c r="J314" s="13" t="n"/>
      <c r="K314" s="13" t="n"/>
      <c r="L314" s="13" t="n"/>
      <c r="M314" s="14">
        <f>IFERROR(IF(A314="","",IFERROR(VLOOKUP(A314,Raw_PriorMonth!A:E,5,FALSE),0)),0)</f>
        <v/>
      </c>
      <c r="N314" s="14">
        <f>IF(A314="","",IFERROR(E314,0)+IFERROR(M314,0))</f>
        <v/>
      </c>
      <c r="O314" s="15">
        <f>IF(A314="","",IF(N314&gt;=28,TRUE,FALSE))</f>
        <v/>
      </c>
      <c r="P314" s="15">
        <f>IF(A314="","",OR(G314=TRUE,O314=TRUE))</f>
        <v/>
      </c>
      <c r="Q314" s="16">
        <f>IF(A314="","",IFERROR(H314,0)+IFERROR(I314,0)+IFERROR(J314,0)+IFERROR(K314,0)+IFERROR(L314,0))</f>
        <v/>
      </c>
      <c r="R314" s="16">
        <f>IF(A314="","",IF(P314=TRUE,0,Q314))</f>
        <v/>
      </c>
      <c r="S314" s="16">
        <f>IF(A314="","",IF(P314=TRUE,0,IFERROR(H314,0)))</f>
        <v/>
      </c>
      <c r="T314" s="16">
        <f>IF(A314="","",IF(P314=TRUE,0,IFERROR(I314,0)))</f>
        <v/>
      </c>
      <c r="U314" s="16">
        <f>IF(A314="","",IF(P314=TRUE,0,IFERROR(J314,0)))</f>
        <v/>
      </c>
      <c r="V314" s="16">
        <f>IF(A314="","",IF(P314=TRUE,0,IFERROR(K314,0)))</f>
        <v/>
      </c>
      <c r="W314" s="16">
        <f>IF(A314="","",IF(P314=TRUE,0,IFERROR(L314,0)))</f>
        <v/>
      </c>
      <c r="X314" s="16">
        <f>IF(A314="","",IF(P314=TRUE,0,IFERROR(H314,0)+IFERROR(I314,0)+IFERROR(L314,0)))</f>
        <v/>
      </c>
      <c r="Y314" s="16">
        <f>IF(A314="",0,IF(G314=TRUE,IFERROR(H314,0)+IFERROR(I314,0)+IFERROR(J314,0)+IFERROR(K314,0)+IFERROR(L314,0),0))</f>
        <v/>
      </c>
      <c r="Z314" s="16">
        <f>IF(A314="",0,IF(AND(O314=TRUE,G314&lt;&gt;TRUE),IFERROR(H314,0)+IFERROR(I314,0)+IFERROR(J314,0)+IFERROR(K314,0)+IFERROR(L314,0),0))</f>
        <v/>
      </c>
    </row>
    <row r="315">
      <c r="A315" s="10" t="n"/>
      <c r="B315" s="10" t="n"/>
      <c r="C315" s="11" t="n"/>
      <c r="D315" s="11" t="n"/>
      <c r="E315" s="10" t="n"/>
      <c r="F315" s="10" t="n"/>
      <c r="G315" s="12" t="n"/>
      <c r="H315" s="13" t="n"/>
      <c r="I315" s="13" t="n"/>
      <c r="J315" s="13" t="n"/>
      <c r="K315" s="13" t="n"/>
      <c r="L315" s="13" t="n"/>
      <c r="M315" s="14">
        <f>IFERROR(IF(A315="","",IFERROR(VLOOKUP(A315,Raw_PriorMonth!A:E,5,FALSE),0)),0)</f>
        <v/>
      </c>
      <c r="N315" s="14">
        <f>IF(A315="","",IFERROR(E315,0)+IFERROR(M315,0))</f>
        <v/>
      </c>
      <c r="O315" s="15">
        <f>IF(A315="","",IF(N315&gt;=28,TRUE,FALSE))</f>
        <v/>
      </c>
      <c r="P315" s="15">
        <f>IF(A315="","",OR(G315=TRUE,O315=TRUE))</f>
        <v/>
      </c>
      <c r="Q315" s="16">
        <f>IF(A315="","",IFERROR(H315,0)+IFERROR(I315,0)+IFERROR(J315,0)+IFERROR(K315,0)+IFERROR(L315,0))</f>
        <v/>
      </c>
      <c r="R315" s="16">
        <f>IF(A315="","",IF(P315=TRUE,0,Q315))</f>
        <v/>
      </c>
      <c r="S315" s="16">
        <f>IF(A315="","",IF(P315=TRUE,0,IFERROR(H315,0)))</f>
        <v/>
      </c>
      <c r="T315" s="16">
        <f>IF(A315="","",IF(P315=TRUE,0,IFERROR(I315,0)))</f>
        <v/>
      </c>
      <c r="U315" s="16">
        <f>IF(A315="","",IF(P315=TRUE,0,IFERROR(J315,0)))</f>
        <v/>
      </c>
      <c r="V315" s="16">
        <f>IF(A315="","",IF(P315=TRUE,0,IFERROR(K315,0)))</f>
        <v/>
      </c>
      <c r="W315" s="16">
        <f>IF(A315="","",IF(P315=TRUE,0,IFERROR(L315,0)))</f>
        <v/>
      </c>
      <c r="X315" s="16">
        <f>IF(A315="","",IF(P315=TRUE,0,IFERROR(H315,0)+IFERROR(I315,0)+IFERROR(L315,0)))</f>
        <v/>
      </c>
      <c r="Y315" s="16">
        <f>IF(A315="",0,IF(G315=TRUE,IFERROR(H315,0)+IFERROR(I315,0)+IFERROR(J315,0)+IFERROR(K315,0)+IFERROR(L315,0),0))</f>
        <v/>
      </c>
      <c r="Z315" s="16">
        <f>IF(A315="",0,IF(AND(O315=TRUE,G315&lt;&gt;TRUE),IFERROR(H315,0)+IFERROR(I315,0)+IFERROR(J315,0)+IFERROR(K315,0)+IFERROR(L315,0),0))</f>
        <v/>
      </c>
    </row>
    <row r="316">
      <c r="A316" s="10" t="n"/>
      <c r="B316" s="10" t="n"/>
      <c r="C316" s="11" t="n"/>
      <c r="D316" s="11" t="n"/>
      <c r="E316" s="10" t="n"/>
      <c r="F316" s="10" t="n"/>
      <c r="G316" s="12" t="n"/>
      <c r="H316" s="13" t="n"/>
      <c r="I316" s="13" t="n"/>
      <c r="J316" s="13" t="n"/>
      <c r="K316" s="13" t="n"/>
      <c r="L316" s="13" t="n"/>
      <c r="M316" s="14">
        <f>IFERROR(IF(A316="","",IFERROR(VLOOKUP(A316,Raw_PriorMonth!A:E,5,FALSE),0)),0)</f>
        <v/>
      </c>
      <c r="N316" s="14">
        <f>IF(A316="","",IFERROR(E316,0)+IFERROR(M316,0))</f>
        <v/>
      </c>
      <c r="O316" s="15">
        <f>IF(A316="","",IF(N316&gt;=28,TRUE,FALSE))</f>
        <v/>
      </c>
      <c r="P316" s="15">
        <f>IF(A316="","",OR(G316=TRUE,O316=TRUE))</f>
        <v/>
      </c>
      <c r="Q316" s="16">
        <f>IF(A316="","",IFERROR(H316,0)+IFERROR(I316,0)+IFERROR(J316,0)+IFERROR(K316,0)+IFERROR(L316,0))</f>
        <v/>
      </c>
      <c r="R316" s="16">
        <f>IF(A316="","",IF(P316=TRUE,0,Q316))</f>
        <v/>
      </c>
      <c r="S316" s="16">
        <f>IF(A316="","",IF(P316=TRUE,0,IFERROR(H316,0)))</f>
        <v/>
      </c>
      <c r="T316" s="16">
        <f>IF(A316="","",IF(P316=TRUE,0,IFERROR(I316,0)))</f>
        <v/>
      </c>
      <c r="U316" s="16">
        <f>IF(A316="","",IF(P316=TRUE,0,IFERROR(J316,0)))</f>
        <v/>
      </c>
      <c r="V316" s="16">
        <f>IF(A316="","",IF(P316=TRUE,0,IFERROR(K316,0)))</f>
        <v/>
      </c>
      <c r="W316" s="16">
        <f>IF(A316="","",IF(P316=TRUE,0,IFERROR(L316,0)))</f>
        <v/>
      </c>
      <c r="X316" s="16">
        <f>IF(A316="","",IF(P316=TRUE,0,IFERROR(H316,0)+IFERROR(I316,0)+IFERROR(L316,0)))</f>
        <v/>
      </c>
      <c r="Y316" s="16">
        <f>IF(A316="",0,IF(G316=TRUE,IFERROR(H316,0)+IFERROR(I316,0)+IFERROR(J316,0)+IFERROR(K316,0)+IFERROR(L316,0),0))</f>
        <v/>
      </c>
      <c r="Z316" s="16">
        <f>IF(A316="",0,IF(AND(O316=TRUE,G316&lt;&gt;TRUE),IFERROR(H316,0)+IFERROR(I316,0)+IFERROR(J316,0)+IFERROR(K316,0)+IFERROR(L316,0),0))</f>
        <v/>
      </c>
    </row>
    <row r="317">
      <c r="A317" s="10" t="n"/>
      <c r="B317" s="10" t="n"/>
      <c r="C317" s="11" t="n"/>
      <c r="D317" s="11" t="n"/>
      <c r="E317" s="10" t="n"/>
      <c r="F317" s="10" t="n"/>
      <c r="G317" s="12" t="n"/>
      <c r="H317" s="13" t="n"/>
      <c r="I317" s="13" t="n"/>
      <c r="J317" s="13" t="n"/>
      <c r="K317" s="13" t="n"/>
      <c r="L317" s="13" t="n"/>
      <c r="M317" s="14">
        <f>IFERROR(IF(A317="","",IFERROR(VLOOKUP(A317,Raw_PriorMonth!A:E,5,FALSE),0)),0)</f>
        <v/>
      </c>
      <c r="N317" s="14">
        <f>IF(A317="","",IFERROR(E317,0)+IFERROR(M317,0))</f>
        <v/>
      </c>
      <c r="O317" s="15">
        <f>IF(A317="","",IF(N317&gt;=28,TRUE,FALSE))</f>
        <v/>
      </c>
      <c r="P317" s="15">
        <f>IF(A317="","",OR(G317=TRUE,O317=TRUE))</f>
        <v/>
      </c>
      <c r="Q317" s="16">
        <f>IF(A317="","",IFERROR(H317,0)+IFERROR(I317,0)+IFERROR(J317,0)+IFERROR(K317,0)+IFERROR(L317,0))</f>
        <v/>
      </c>
      <c r="R317" s="16">
        <f>IF(A317="","",IF(P317=TRUE,0,Q317))</f>
        <v/>
      </c>
      <c r="S317" s="16">
        <f>IF(A317="","",IF(P317=TRUE,0,IFERROR(H317,0)))</f>
        <v/>
      </c>
      <c r="T317" s="16">
        <f>IF(A317="","",IF(P317=TRUE,0,IFERROR(I317,0)))</f>
        <v/>
      </c>
      <c r="U317" s="16">
        <f>IF(A317="","",IF(P317=TRUE,0,IFERROR(J317,0)))</f>
        <v/>
      </c>
      <c r="V317" s="16">
        <f>IF(A317="","",IF(P317=TRUE,0,IFERROR(K317,0)))</f>
        <v/>
      </c>
      <c r="W317" s="16">
        <f>IF(A317="","",IF(P317=TRUE,0,IFERROR(L317,0)))</f>
        <v/>
      </c>
      <c r="X317" s="16">
        <f>IF(A317="","",IF(P317=TRUE,0,IFERROR(H317,0)+IFERROR(I317,0)+IFERROR(L317,0)))</f>
        <v/>
      </c>
      <c r="Y317" s="16">
        <f>IF(A317="",0,IF(G317=TRUE,IFERROR(H317,0)+IFERROR(I317,0)+IFERROR(J317,0)+IFERROR(K317,0)+IFERROR(L317,0),0))</f>
        <v/>
      </c>
      <c r="Z317" s="16">
        <f>IF(A317="",0,IF(AND(O317=TRUE,G317&lt;&gt;TRUE),IFERROR(H317,0)+IFERROR(I317,0)+IFERROR(J317,0)+IFERROR(K317,0)+IFERROR(L317,0),0))</f>
        <v/>
      </c>
    </row>
    <row r="318">
      <c r="A318" s="10" t="n"/>
      <c r="B318" s="10" t="n"/>
      <c r="C318" s="11" t="n"/>
      <c r="D318" s="11" t="n"/>
      <c r="E318" s="10" t="n"/>
      <c r="F318" s="10" t="n"/>
      <c r="G318" s="12" t="n"/>
      <c r="H318" s="13" t="n"/>
      <c r="I318" s="13" t="n"/>
      <c r="J318" s="13" t="n"/>
      <c r="K318" s="13" t="n"/>
      <c r="L318" s="13" t="n"/>
      <c r="M318" s="14">
        <f>IFERROR(IF(A318="","",IFERROR(VLOOKUP(A318,Raw_PriorMonth!A:E,5,FALSE),0)),0)</f>
        <v/>
      </c>
      <c r="N318" s="14">
        <f>IF(A318="","",IFERROR(E318,0)+IFERROR(M318,0))</f>
        <v/>
      </c>
      <c r="O318" s="15">
        <f>IF(A318="","",IF(N318&gt;=28,TRUE,FALSE))</f>
        <v/>
      </c>
      <c r="P318" s="15">
        <f>IF(A318="","",OR(G318=TRUE,O318=TRUE))</f>
        <v/>
      </c>
      <c r="Q318" s="16">
        <f>IF(A318="","",IFERROR(H318,0)+IFERROR(I318,0)+IFERROR(J318,0)+IFERROR(K318,0)+IFERROR(L318,0))</f>
        <v/>
      </c>
      <c r="R318" s="16">
        <f>IF(A318="","",IF(P318=TRUE,0,Q318))</f>
        <v/>
      </c>
      <c r="S318" s="16">
        <f>IF(A318="","",IF(P318=TRUE,0,IFERROR(H318,0)))</f>
        <v/>
      </c>
      <c r="T318" s="16">
        <f>IF(A318="","",IF(P318=TRUE,0,IFERROR(I318,0)))</f>
        <v/>
      </c>
      <c r="U318" s="16">
        <f>IF(A318="","",IF(P318=TRUE,0,IFERROR(J318,0)))</f>
        <v/>
      </c>
      <c r="V318" s="16">
        <f>IF(A318="","",IF(P318=TRUE,0,IFERROR(K318,0)))</f>
        <v/>
      </c>
      <c r="W318" s="16">
        <f>IF(A318="","",IF(P318=TRUE,0,IFERROR(L318,0)))</f>
        <v/>
      </c>
      <c r="X318" s="16">
        <f>IF(A318="","",IF(P318=TRUE,0,IFERROR(H318,0)+IFERROR(I318,0)+IFERROR(L318,0)))</f>
        <v/>
      </c>
      <c r="Y318" s="16">
        <f>IF(A318="",0,IF(G318=TRUE,IFERROR(H318,0)+IFERROR(I318,0)+IFERROR(J318,0)+IFERROR(K318,0)+IFERROR(L318,0),0))</f>
        <v/>
      </c>
      <c r="Z318" s="16">
        <f>IF(A318="",0,IF(AND(O318=TRUE,G318&lt;&gt;TRUE),IFERROR(H318,0)+IFERROR(I318,0)+IFERROR(J318,0)+IFERROR(K318,0)+IFERROR(L318,0),0))</f>
        <v/>
      </c>
    </row>
    <row r="319">
      <c r="A319" s="10" t="n"/>
      <c r="B319" s="10" t="n"/>
      <c r="C319" s="11" t="n"/>
      <c r="D319" s="11" t="n"/>
      <c r="E319" s="10" t="n"/>
      <c r="F319" s="10" t="n"/>
      <c r="G319" s="12" t="n"/>
      <c r="H319" s="13" t="n"/>
      <c r="I319" s="13" t="n"/>
      <c r="J319" s="13" t="n"/>
      <c r="K319" s="13" t="n"/>
      <c r="L319" s="13" t="n"/>
      <c r="M319" s="14">
        <f>IFERROR(IF(A319="","",IFERROR(VLOOKUP(A319,Raw_PriorMonth!A:E,5,FALSE),0)),0)</f>
        <v/>
      </c>
      <c r="N319" s="14">
        <f>IF(A319="","",IFERROR(E319,0)+IFERROR(M319,0))</f>
        <v/>
      </c>
      <c r="O319" s="15">
        <f>IF(A319="","",IF(N319&gt;=28,TRUE,FALSE))</f>
        <v/>
      </c>
      <c r="P319" s="15">
        <f>IF(A319="","",OR(G319=TRUE,O319=TRUE))</f>
        <v/>
      </c>
      <c r="Q319" s="16">
        <f>IF(A319="","",IFERROR(H319,0)+IFERROR(I319,0)+IFERROR(J319,0)+IFERROR(K319,0)+IFERROR(L319,0))</f>
        <v/>
      </c>
      <c r="R319" s="16">
        <f>IF(A319="","",IF(P319=TRUE,0,Q319))</f>
        <v/>
      </c>
      <c r="S319" s="16">
        <f>IF(A319="","",IF(P319=TRUE,0,IFERROR(H319,0)))</f>
        <v/>
      </c>
      <c r="T319" s="16">
        <f>IF(A319="","",IF(P319=TRUE,0,IFERROR(I319,0)))</f>
        <v/>
      </c>
      <c r="U319" s="16">
        <f>IF(A319="","",IF(P319=TRUE,0,IFERROR(J319,0)))</f>
        <v/>
      </c>
      <c r="V319" s="16">
        <f>IF(A319="","",IF(P319=TRUE,0,IFERROR(K319,0)))</f>
        <v/>
      </c>
      <c r="W319" s="16">
        <f>IF(A319="","",IF(P319=TRUE,0,IFERROR(L319,0)))</f>
        <v/>
      </c>
      <c r="X319" s="16">
        <f>IF(A319="","",IF(P319=TRUE,0,IFERROR(H319,0)+IFERROR(I319,0)+IFERROR(L319,0)))</f>
        <v/>
      </c>
      <c r="Y319" s="16">
        <f>IF(A319="",0,IF(G319=TRUE,IFERROR(H319,0)+IFERROR(I319,0)+IFERROR(J319,0)+IFERROR(K319,0)+IFERROR(L319,0),0))</f>
        <v/>
      </c>
      <c r="Z319" s="16">
        <f>IF(A319="",0,IF(AND(O319=TRUE,G319&lt;&gt;TRUE),IFERROR(H319,0)+IFERROR(I319,0)+IFERROR(J319,0)+IFERROR(K319,0)+IFERROR(L319,0),0))</f>
        <v/>
      </c>
    </row>
    <row r="320">
      <c r="A320" s="10" t="n"/>
      <c r="B320" s="10" t="n"/>
      <c r="C320" s="11" t="n"/>
      <c r="D320" s="11" t="n"/>
      <c r="E320" s="10" t="n"/>
      <c r="F320" s="10" t="n"/>
      <c r="G320" s="12" t="n"/>
      <c r="H320" s="13" t="n"/>
      <c r="I320" s="13" t="n"/>
      <c r="J320" s="13" t="n"/>
      <c r="K320" s="13" t="n"/>
      <c r="L320" s="13" t="n"/>
      <c r="M320" s="14">
        <f>IFERROR(IF(A320="","",IFERROR(VLOOKUP(A320,Raw_PriorMonth!A:E,5,FALSE),0)),0)</f>
        <v/>
      </c>
      <c r="N320" s="14">
        <f>IF(A320="","",IFERROR(E320,0)+IFERROR(M320,0))</f>
        <v/>
      </c>
      <c r="O320" s="15">
        <f>IF(A320="","",IF(N320&gt;=28,TRUE,FALSE))</f>
        <v/>
      </c>
      <c r="P320" s="15">
        <f>IF(A320="","",OR(G320=TRUE,O320=TRUE))</f>
        <v/>
      </c>
      <c r="Q320" s="16">
        <f>IF(A320="","",IFERROR(H320,0)+IFERROR(I320,0)+IFERROR(J320,0)+IFERROR(K320,0)+IFERROR(L320,0))</f>
        <v/>
      </c>
      <c r="R320" s="16">
        <f>IF(A320="","",IF(P320=TRUE,0,Q320))</f>
        <v/>
      </c>
      <c r="S320" s="16">
        <f>IF(A320="","",IF(P320=TRUE,0,IFERROR(H320,0)))</f>
        <v/>
      </c>
      <c r="T320" s="16">
        <f>IF(A320="","",IF(P320=TRUE,0,IFERROR(I320,0)))</f>
        <v/>
      </c>
      <c r="U320" s="16">
        <f>IF(A320="","",IF(P320=TRUE,0,IFERROR(J320,0)))</f>
        <v/>
      </c>
      <c r="V320" s="16">
        <f>IF(A320="","",IF(P320=TRUE,0,IFERROR(K320,0)))</f>
        <v/>
      </c>
      <c r="W320" s="16">
        <f>IF(A320="","",IF(P320=TRUE,0,IFERROR(L320,0)))</f>
        <v/>
      </c>
      <c r="X320" s="16">
        <f>IF(A320="","",IF(P320=TRUE,0,IFERROR(H320,0)+IFERROR(I320,0)+IFERROR(L320,0)))</f>
        <v/>
      </c>
      <c r="Y320" s="16">
        <f>IF(A320="",0,IF(G320=TRUE,IFERROR(H320,0)+IFERROR(I320,0)+IFERROR(J320,0)+IFERROR(K320,0)+IFERROR(L320,0),0))</f>
        <v/>
      </c>
      <c r="Z320" s="16">
        <f>IF(A320="",0,IF(AND(O320=TRUE,G320&lt;&gt;TRUE),IFERROR(H320,0)+IFERROR(I320,0)+IFERROR(J320,0)+IFERROR(K320,0)+IFERROR(L320,0),0))</f>
        <v/>
      </c>
    </row>
    <row r="321">
      <c r="A321" s="10" t="n"/>
      <c r="B321" s="10" t="n"/>
      <c r="C321" s="11" t="n"/>
      <c r="D321" s="11" t="n"/>
      <c r="E321" s="10" t="n"/>
      <c r="F321" s="10" t="n"/>
      <c r="G321" s="12" t="n"/>
      <c r="H321" s="13" t="n"/>
      <c r="I321" s="13" t="n"/>
      <c r="J321" s="13" t="n"/>
      <c r="K321" s="13" t="n"/>
      <c r="L321" s="13" t="n"/>
      <c r="M321" s="14">
        <f>IFERROR(IF(A321="","",IFERROR(VLOOKUP(A321,Raw_PriorMonth!A:E,5,FALSE),0)),0)</f>
        <v/>
      </c>
      <c r="N321" s="14">
        <f>IF(A321="","",IFERROR(E321,0)+IFERROR(M321,0))</f>
        <v/>
      </c>
      <c r="O321" s="15">
        <f>IF(A321="","",IF(N321&gt;=28,TRUE,FALSE))</f>
        <v/>
      </c>
      <c r="P321" s="15">
        <f>IF(A321="","",OR(G321=TRUE,O321=TRUE))</f>
        <v/>
      </c>
      <c r="Q321" s="16">
        <f>IF(A321="","",IFERROR(H321,0)+IFERROR(I321,0)+IFERROR(J321,0)+IFERROR(K321,0)+IFERROR(L321,0))</f>
        <v/>
      </c>
      <c r="R321" s="16">
        <f>IF(A321="","",IF(P321=TRUE,0,Q321))</f>
        <v/>
      </c>
      <c r="S321" s="16">
        <f>IF(A321="","",IF(P321=TRUE,0,IFERROR(H321,0)))</f>
        <v/>
      </c>
      <c r="T321" s="16">
        <f>IF(A321="","",IF(P321=TRUE,0,IFERROR(I321,0)))</f>
        <v/>
      </c>
      <c r="U321" s="16">
        <f>IF(A321="","",IF(P321=TRUE,0,IFERROR(J321,0)))</f>
        <v/>
      </c>
      <c r="V321" s="16">
        <f>IF(A321="","",IF(P321=TRUE,0,IFERROR(K321,0)))</f>
        <v/>
      </c>
      <c r="W321" s="16">
        <f>IF(A321="","",IF(P321=TRUE,0,IFERROR(L321,0)))</f>
        <v/>
      </c>
      <c r="X321" s="16">
        <f>IF(A321="","",IF(P321=TRUE,0,IFERROR(H321,0)+IFERROR(I321,0)+IFERROR(L321,0)))</f>
        <v/>
      </c>
      <c r="Y321" s="16">
        <f>IF(A321="",0,IF(G321=TRUE,IFERROR(H321,0)+IFERROR(I321,0)+IFERROR(J321,0)+IFERROR(K321,0)+IFERROR(L321,0),0))</f>
        <v/>
      </c>
      <c r="Z321" s="16">
        <f>IF(A321="",0,IF(AND(O321=TRUE,G321&lt;&gt;TRUE),IFERROR(H321,0)+IFERROR(I321,0)+IFERROR(J321,0)+IFERROR(K321,0)+IFERROR(L321,0),0))</f>
        <v/>
      </c>
    </row>
    <row r="322">
      <c r="A322" s="10" t="n"/>
      <c r="B322" s="10" t="n"/>
      <c r="C322" s="11" t="n"/>
      <c r="D322" s="11" t="n"/>
      <c r="E322" s="10" t="n"/>
      <c r="F322" s="10" t="n"/>
      <c r="G322" s="12" t="n"/>
      <c r="H322" s="13" t="n"/>
      <c r="I322" s="13" t="n"/>
      <c r="J322" s="13" t="n"/>
      <c r="K322" s="13" t="n"/>
      <c r="L322" s="13" t="n"/>
      <c r="M322" s="14">
        <f>IFERROR(IF(A322="","",IFERROR(VLOOKUP(A322,Raw_PriorMonth!A:E,5,FALSE),0)),0)</f>
        <v/>
      </c>
      <c r="N322" s="14">
        <f>IF(A322="","",IFERROR(E322,0)+IFERROR(M322,0))</f>
        <v/>
      </c>
      <c r="O322" s="15">
        <f>IF(A322="","",IF(N322&gt;=28,TRUE,FALSE))</f>
        <v/>
      </c>
      <c r="P322" s="15">
        <f>IF(A322="","",OR(G322=TRUE,O322=TRUE))</f>
        <v/>
      </c>
      <c r="Q322" s="16">
        <f>IF(A322="","",IFERROR(H322,0)+IFERROR(I322,0)+IFERROR(J322,0)+IFERROR(K322,0)+IFERROR(L322,0))</f>
        <v/>
      </c>
      <c r="R322" s="16">
        <f>IF(A322="","",IF(P322=TRUE,0,Q322))</f>
        <v/>
      </c>
      <c r="S322" s="16">
        <f>IF(A322="","",IF(P322=TRUE,0,IFERROR(H322,0)))</f>
        <v/>
      </c>
      <c r="T322" s="16">
        <f>IF(A322="","",IF(P322=TRUE,0,IFERROR(I322,0)))</f>
        <v/>
      </c>
      <c r="U322" s="16">
        <f>IF(A322="","",IF(P322=TRUE,0,IFERROR(J322,0)))</f>
        <v/>
      </c>
      <c r="V322" s="16">
        <f>IF(A322="","",IF(P322=TRUE,0,IFERROR(K322,0)))</f>
        <v/>
      </c>
      <c r="W322" s="16">
        <f>IF(A322="","",IF(P322=TRUE,0,IFERROR(L322,0)))</f>
        <v/>
      </c>
      <c r="X322" s="16">
        <f>IF(A322="","",IF(P322=TRUE,0,IFERROR(H322,0)+IFERROR(I322,0)+IFERROR(L322,0)))</f>
        <v/>
      </c>
      <c r="Y322" s="16">
        <f>IF(A322="",0,IF(G322=TRUE,IFERROR(H322,0)+IFERROR(I322,0)+IFERROR(J322,0)+IFERROR(K322,0)+IFERROR(L322,0),0))</f>
        <v/>
      </c>
      <c r="Z322" s="16">
        <f>IF(A322="",0,IF(AND(O322=TRUE,G322&lt;&gt;TRUE),IFERROR(H322,0)+IFERROR(I322,0)+IFERROR(J322,0)+IFERROR(K322,0)+IFERROR(L322,0),0))</f>
        <v/>
      </c>
    </row>
    <row r="323">
      <c r="A323" s="10" t="n"/>
      <c r="B323" s="10" t="n"/>
      <c r="C323" s="11" t="n"/>
      <c r="D323" s="11" t="n"/>
      <c r="E323" s="10" t="n"/>
      <c r="F323" s="10" t="n"/>
      <c r="G323" s="12" t="n"/>
      <c r="H323" s="13" t="n"/>
      <c r="I323" s="13" t="n"/>
      <c r="J323" s="13" t="n"/>
      <c r="K323" s="13" t="n"/>
      <c r="L323" s="13" t="n"/>
      <c r="M323" s="14">
        <f>IFERROR(IF(A323="","",IFERROR(VLOOKUP(A323,Raw_PriorMonth!A:E,5,FALSE),0)),0)</f>
        <v/>
      </c>
      <c r="N323" s="14">
        <f>IF(A323="","",IFERROR(E323,0)+IFERROR(M323,0))</f>
        <v/>
      </c>
      <c r="O323" s="15">
        <f>IF(A323="","",IF(N323&gt;=28,TRUE,FALSE))</f>
        <v/>
      </c>
      <c r="P323" s="15">
        <f>IF(A323="","",OR(G323=TRUE,O323=TRUE))</f>
        <v/>
      </c>
      <c r="Q323" s="16">
        <f>IF(A323="","",IFERROR(H323,0)+IFERROR(I323,0)+IFERROR(J323,0)+IFERROR(K323,0)+IFERROR(L323,0))</f>
        <v/>
      </c>
      <c r="R323" s="16">
        <f>IF(A323="","",IF(P323=TRUE,0,Q323))</f>
        <v/>
      </c>
      <c r="S323" s="16">
        <f>IF(A323="","",IF(P323=TRUE,0,IFERROR(H323,0)))</f>
        <v/>
      </c>
      <c r="T323" s="16">
        <f>IF(A323="","",IF(P323=TRUE,0,IFERROR(I323,0)))</f>
        <v/>
      </c>
      <c r="U323" s="16">
        <f>IF(A323="","",IF(P323=TRUE,0,IFERROR(J323,0)))</f>
        <v/>
      </c>
      <c r="V323" s="16">
        <f>IF(A323="","",IF(P323=TRUE,0,IFERROR(K323,0)))</f>
        <v/>
      </c>
      <c r="W323" s="16">
        <f>IF(A323="","",IF(P323=TRUE,0,IFERROR(L323,0)))</f>
        <v/>
      </c>
      <c r="X323" s="16">
        <f>IF(A323="","",IF(P323=TRUE,0,IFERROR(H323,0)+IFERROR(I323,0)+IFERROR(L323,0)))</f>
        <v/>
      </c>
      <c r="Y323" s="16">
        <f>IF(A323="",0,IF(G323=TRUE,IFERROR(H323,0)+IFERROR(I323,0)+IFERROR(J323,0)+IFERROR(K323,0)+IFERROR(L323,0),0))</f>
        <v/>
      </c>
      <c r="Z323" s="16">
        <f>IF(A323="",0,IF(AND(O323=TRUE,G323&lt;&gt;TRUE),IFERROR(H323,0)+IFERROR(I323,0)+IFERROR(J323,0)+IFERROR(K323,0)+IFERROR(L323,0),0))</f>
        <v/>
      </c>
    </row>
    <row r="324">
      <c r="A324" s="10" t="n"/>
      <c r="B324" s="10" t="n"/>
      <c r="C324" s="11" t="n"/>
      <c r="D324" s="11" t="n"/>
      <c r="E324" s="10" t="n"/>
      <c r="F324" s="10" t="n"/>
      <c r="G324" s="12" t="n"/>
      <c r="H324" s="13" t="n"/>
      <c r="I324" s="13" t="n"/>
      <c r="J324" s="13" t="n"/>
      <c r="K324" s="13" t="n"/>
      <c r="L324" s="13" t="n"/>
      <c r="M324" s="14">
        <f>IFERROR(IF(A324="","",IFERROR(VLOOKUP(A324,Raw_PriorMonth!A:E,5,FALSE),0)),0)</f>
        <v/>
      </c>
      <c r="N324" s="14">
        <f>IF(A324="","",IFERROR(E324,0)+IFERROR(M324,0))</f>
        <v/>
      </c>
      <c r="O324" s="15">
        <f>IF(A324="","",IF(N324&gt;=28,TRUE,FALSE))</f>
        <v/>
      </c>
      <c r="P324" s="15">
        <f>IF(A324="","",OR(G324=TRUE,O324=TRUE))</f>
        <v/>
      </c>
      <c r="Q324" s="16">
        <f>IF(A324="","",IFERROR(H324,0)+IFERROR(I324,0)+IFERROR(J324,0)+IFERROR(K324,0)+IFERROR(L324,0))</f>
        <v/>
      </c>
      <c r="R324" s="16">
        <f>IF(A324="","",IF(P324=TRUE,0,Q324))</f>
        <v/>
      </c>
      <c r="S324" s="16">
        <f>IF(A324="","",IF(P324=TRUE,0,IFERROR(H324,0)))</f>
        <v/>
      </c>
      <c r="T324" s="16">
        <f>IF(A324="","",IF(P324=TRUE,0,IFERROR(I324,0)))</f>
        <v/>
      </c>
      <c r="U324" s="16">
        <f>IF(A324="","",IF(P324=TRUE,0,IFERROR(J324,0)))</f>
        <v/>
      </c>
      <c r="V324" s="16">
        <f>IF(A324="","",IF(P324=TRUE,0,IFERROR(K324,0)))</f>
        <v/>
      </c>
      <c r="W324" s="16">
        <f>IF(A324="","",IF(P324=TRUE,0,IFERROR(L324,0)))</f>
        <v/>
      </c>
      <c r="X324" s="16">
        <f>IF(A324="","",IF(P324=TRUE,0,IFERROR(H324,0)+IFERROR(I324,0)+IFERROR(L324,0)))</f>
        <v/>
      </c>
      <c r="Y324" s="16">
        <f>IF(A324="",0,IF(G324=TRUE,IFERROR(H324,0)+IFERROR(I324,0)+IFERROR(J324,0)+IFERROR(K324,0)+IFERROR(L324,0),0))</f>
        <v/>
      </c>
      <c r="Z324" s="16">
        <f>IF(A324="",0,IF(AND(O324=TRUE,G324&lt;&gt;TRUE),IFERROR(H324,0)+IFERROR(I324,0)+IFERROR(J324,0)+IFERROR(K324,0)+IFERROR(L324,0),0))</f>
        <v/>
      </c>
    </row>
    <row r="325">
      <c r="A325" s="10" t="n"/>
      <c r="B325" s="10" t="n"/>
      <c r="C325" s="11" t="n"/>
      <c r="D325" s="11" t="n"/>
      <c r="E325" s="10" t="n"/>
      <c r="F325" s="10" t="n"/>
      <c r="G325" s="12" t="n"/>
      <c r="H325" s="13" t="n"/>
      <c r="I325" s="13" t="n"/>
      <c r="J325" s="13" t="n"/>
      <c r="K325" s="13" t="n"/>
      <c r="L325" s="13" t="n"/>
      <c r="M325" s="14">
        <f>IFERROR(IF(A325="","",IFERROR(VLOOKUP(A325,Raw_PriorMonth!A:E,5,FALSE),0)),0)</f>
        <v/>
      </c>
      <c r="N325" s="14">
        <f>IF(A325="","",IFERROR(E325,0)+IFERROR(M325,0))</f>
        <v/>
      </c>
      <c r="O325" s="15">
        <f>IF(A325="","",IF(N325&gt;=28,TRUE,FALSE))</f>
        <v/>
      </c>
      <c r="P325" s="15">
        <f>IF(A325="","",OR(G325=TRUE,O325=TRUE))</f>
        <v/>
      </c>
      <c r="Q325" s="16">
        <f>IF(A325="","",IFERROR(H325,0)+IFERROR(I325,0)+IFERROR(J325,0)+IFERROR(K325,0)+IFERROR(L325,0))</f>
        <v/>
      </c>
      <c r="R325" s="16">
        <f>IF(A325="","",IF(P325=TRUE,0,Q325))</f>
        <v/>
      </c>
      <c r="S325" s="16">
        <f>IF(A325="","",IF(P325=TRUE,0,IFERROR(H325,0)))</f>
        <v/>
      </c>
      <c r="T325" s="16">
        <f>IF(A325="","",IF(P325=TRUE,0,IFERROR(I325,0)))</f>
        <v/>
      </c>
      <c r="U325" s="16">
        <f>IF(A325="","",IF(P325=TRUE,0,IFERROR(J325,0)))</f>
        <v/>
      </c>
      <c r="V325" s="16">
        <f>IF(A325="","",IF(P325=TRUE,0,IFERROR(K325,0)))</f>
        <v/>
      </c>
      <c r="W325" s="16">
        <f>IF(A325="","",IF(P325=TRUE,0,IFERROR(L325,0)))</f>
        <v/>
      </c>
      <c r="X325" s="16">
        <f>IF(A325="","",IF(P325=TRUE,0,IFERROR(H325,0)+IFERROR(I325,0)+IFERROR(L325,0)))</f>
        <v/>
      </c>
      <c r="Y325" s="16">
        <f>IF(A325="",0,IF(G325=TRUE,IFERROR(H325,0)+IFERROR(I325,0)+IFERROR(J325,0)+IFERROR(K325,0)+IFERROR(L325,0),0))</f>
        <v/>
      </c>
      <c r="Z325" s="16">
        <f>IF(A325="",0,IF(AND(O325=TRUE,G325&lt;&gt;TRUE),IFERROR(H325,0)+IFERROR(I325,0)+IFERROR(J325,0)+IFERROR(K325,0)+IFERROR(L325,0),0))</f>
        <v/>
      </c>
    </row>
    <row r="326">
      <c r="A326" s="10" t="n"/>
      <c r="B326" s="10" t="n"/>
      <c r="C326" s="11" t="n"/>
      <c r="D326" s="11" t="n"/>
      <c r="E326" s="10" t="n"/>
      <c r="F326" s="10" t="n"/>
      <c r="G326" s="12" t="n"/>
      <c r="H326" s="13" t="n"/>
      <c r="I326" s="13" t="n"/>
      <c r="J326" s="13" t="n"/>
      <c r="K326" s="13" t="n"/>
      <c r="L326" s="13" t="n"/>
      <c r="M326" s="14">
        <f>IFERROR(IF(A326="","",IFERROR(VLOOKUP(A326,Raw_PriorMonth!A:E,5,FALSE),0)),0)</f>
        <v/>
      </c>
      <c r="N326" s="14">
        <f>IF(A326="","",IFERROR(E326,0)+IFERROR(M326,0))</f>
        <v/>
      </c>
      <c r="O326" s="15">
        <f>IF(A326="","",IF(N326&gt;=28,TRUE,FALSE))</f>
        <v/>
      </c>
      <c r="P326" s="15">
        <f>IF(A326="","",OR(G326=TRUE,O326=TRUE))</f>
        <v/>
      </c>
      <c r="Q326" s="16">
        <f>IF(A326="","",IFERROR(H326,0)+IFERROR(I326,0)+IFERROR(J326,0)+IFERROR(K326,0)+IFERROR(L326,0))</f>
        <v/>
      </c>
      <c r="R326" s="16">
        <f>IF(A326="","",IF(P326=TRUE,0,Q326))</f>
        <v/>
      </c>
      <c r="S326" s="16">
        <f>IF(A326="","",IF(P326=TRUE,0,IFERROR(H326,0)))</f>
        <v/>
      </c>
      <c r="T326" s="16">
        <f>IF(A326="","",IF(P326=TRUE,0,IFERROR(I326,0)))</f>
        <v/>
      </c>
      <c r="U326" s="16">
        <f>IF(A326="","",IF(P326=TRUE,0,IFERROR(J326,0)))</f>
        <v/>
      </c>
      <c r="V326" s="16">
        <f>IF(A326="","",IF(P326=TRUE,0,IFERROR(K326,0)))</f>
        <v/>
      </c>
      <c r="W326" s="16">
        <f>IF(A326="","",IF(P326=TRUE,0,IFERROR(L326,0)))</f>
        <v/>
      </c>
      <c r="X326" s="16">
        <f>IF(A326="","",IF(P326=TRUE,0,IFERROR(H326,0)+IFERROR(I326,0)+IFERROR(L326,0)))</f>
        <v/>
      </c>
      <c r="Y326" s="16">
        <f>IF(A326="",0,IF(G326=TRUE,IFERROR(H326,0)+IFERROR(I326,0)+IFERROR(J326,0)+IFERROR(K326,0)+IFERROR(L326,0),0))</f>
        <v/>
      </c>
      <c r="Z326" s="16">
        <f>IF(A326="",0,IF(AND(O326=TRUE,G326&lt;&gt;TRUE),IFERROR(H326,0)+IFERROR(I326,0)+IFERROR(J326,0)+IFERROR(K326,0)+IFERROR(L326,0),0))</f>
        <v/>
      </c>
    </row>
    <row r="327">
      <c r="A327" s="10" t="n"/>
      <c r="B327" s="10" t="n"/>
      <c r="C327" s="11" t="n"/>
      <c r="D327" s="11" t="n"/>
      <c r="E327" s="10" t="n"/>
      <c r="F327" s="10" t="n"/>
      <c r="G327" s="12" t="n"/>
      <c r="H327" s="13" t="n"/>
      <c r="I327" s="13" t="n"/>
      <c r="J327" s="13" t="n"/>
      <c r="K327" s="13" t="n"/>
      <c r="L327" s="13" t="n"/>
      <c r="M327" s="14">
        <f>IFERROR(IF(A327="","",IFERROR(VLOOKUP(A327,Raw_PriorMonth!A:E,5,FALSE),0)),0)</f>
        <v/>
      </c>
      <c r="N327" s="14">
        <f>IF(A327="","",IFERROR(E327,0)+IFERROR(M327,0))</f>
        <v/>
      </c>
      <c r="O327" s="15">
        <f>IF(A327="","",IF(N327&gt;=28,TRUE,FALSE))</f>
        <v/>
      </c>
      <c r="P327" s="15">
        <f>IF(A327="","",OR(G327=TRUE,O327=TRUE))</f>
        <v/>
      </c>
      <c r="Q327" s="16">
        <f>IF(A327="","",IFERROR(H327,0)+IFERROR(I327,0)+IFERROR(J327,0)+IFERROR(K327,0)+IFERROR(L327,0))</f>
        <v/>
      </c>
      <c r="R327" s="16">
        <f>IF(A327="","",IF(P327=TRUE,0,Q327))</f>
        <v/>
      </c>
      <c r="S327" s="16">
        <f>IF(A327="","",IF(P327=TRUE,0,IFERROR(H327,0)))</f>
        <v/>
      </c>
      <c r="T327" s="16">
        <f>IF(A327="","",IF(P327=TRUE,0,IFERROR(I327,0)))</f>
        <v/>
      </c>
      <c r="U327" s="16">
        <f>IF(A327="","",IF(P327=TRUE,0,IFERROR(J327,0)))</f>
        <v/>
      </c>
      <c r="V327" s="16">
        <f>IF(A327="","",IF(P327=TRUE,0,IFERROR(K327,0)))</f>
        <v/>
      </c>
      <c r="W327" s="16">
        <f>IF(A327="","",IF(P327=TRUE,0,IFERROR(L327,0)))</f>
        <v/>
      </c>
      <c r="X327" s="16">
        <f>IF(A327="","",IF(P327=TRUE,0,IFERROR(H327,0)+IFERROR(I327,0)+IFERROR(L327,0)))</f>
        <v/>
      </c>
      <c r="Y327" s="16">
        <f>IF(A327="",0,IF(G327=TRUE,IFERROR(H327,0)+IFERROR(I327,0)+IFERROR(J327,0)+IFERROR(K327,0)+IFERROR(L327,0),0))</f>
        <v/>
      </c>
      <c r="Z327" s="16">
        <f>IF(A327="",0,IF(AND(O327=TRUE,G327&lt;&gt;TRUE),IFERROR(H327,0)+IFERROR(I327,0)+IFERROR(J327,0)+IFERROR(K327,0)+IFERROR(L327,0),0))</f>
        <v/>
      </c>
    </row>
    <row r="328">
      <c r="A328" s="10" t="n"/>
      <c r="B328" s="10" t="n"/>
      <c r="C328" s="11" t="n"/>
      <c r="D328" s="11" t="n"/>
      <c r="E328" s="10" t="n"/>
      <c r="F328" s="10" t="n"/>
      <c r="G328" s="12" t="n"/>
      <c r="H328" s="13" t="n"/>
      <c r="I328" s="13" t="n"/>
      <c r="J328" s="13" t="n"/>
      <c r="K328" s="13" t="n"/>
      <c r="L328" s="13" t="n"/>
      <c r="M328" s="14">
        <f>IFERROR(IF(A328="","",IFERROR(VLOOKUP(A328,Raw_PriorMonth!A:E,5,FALSE),0)),0)</f>
        <v/>
      </c>
      <c r="N328" s="14">
        <f>IF(A328="","",IFERROR(E328,0)+IFERROR(M328,0))</f>
        <v/>
      </c>
      <c r="O328" s="15">
        <f>IF(A328="","",IF(N328&gt;=28,TRUE,FALSE))</f>
        <v/>
      </c>
      <c r="P328" s="15">
        <f>IF(A328="","",OR(G328=TRUE,O328=TRUE))</f>
        <v/>
      </c>
      <c r="Q328" s="16">
        <f>IF(A328="","",IFERROR(H328,0)+IFERROR(I328,0)+IFERROR(J328,0)+IFERROR(K328,0)+IFERROR(L328,0))</f>
        <v/>
      </c>
      <c r="R328" s="16">
        <f>IF(A328="","",IF(P328=TRUE,0,Q328))</f>
        <v/>
      </c>
      <c r="S328" s="16">
        <f>IF(A328="","",IF(P328=TRUE,0,IFERROR(H328,0)))</f>
        <v/>
      </c>
      <c r="T328" s="16">
        <f>IF(A328="","",IF(P328=TRUE,0,IFERROR(I328,0)))</f>
        <v/>
      </c>
      <c r="U328" s="16">
        <f>IF(A328="","",IF(P328=TRUE,0,IFERROR(J328,0)))</f>
        <v/>
      </c>
      <c r="V328" s="16">
        <f>IF(A328="","",IF(P328=TRUE,0,IFERROR(K328,0)))</f>
        <v/>
      </c>
      <c r="W328" s="16">
        <f>IF(A328="","",IF(P328=TRUE,0,IFERROR(L328,0)))</f>
        <v/>
      </c>
      <c r="X328" s="16">
        <f>IF(A328="","",IF(P328=TRUE,0,IFERROR(H328,0)+IFERROR(I328,0)+IFERROR(L328,0)))</f>
        <v/>
      </c>
      <c r="Y328" s="16">
        <f>IF(A328="",0,IF(G328=TRUE,IFERROR(H328,0)+IFERROR(I328,0)+IFERROR(J328,0)+IFERROR(K328,0)+IFERROR(L328,0),0))</f>
        <v/>
      </c>
      <c r="Z328" s="16">
        <f>IF(A328="",0,IF(AND(O328=TRUE,G328&lt;&gt;TRUE),IFERROR(H328,0)+IFERROR(I328,0)+IFERROR(J328,0)+IFERROR(K328,0)+IFERROR(L328,0),0))</f>
        <v/>
      </c>
    </row>
    <row r="329">
      <c r="A329" s="10" t="n"/>
      <c r="B329" s="10" t="n"/>
      <c r="C329" s="11" t="n"/>
      <c r="D329" s="11" t="n"/>
      <c r="E329" s="10" t="n"/>
      <c r="F329" s="10" t="n"/>
      <c r="G329" s="12" t="n"/>
      <c r="H329" s="13" t="n"/>
      <c r="I329" s="13" t="n"/>
      <c r="J329" s="13" t="n"/>
      <c r="K329" s="13" t="n"/>
      <c r="L329" s="13" t="n"/>
      <c r="M329" s="14">
        <f>IFERROR(IF(A329="","",IFERROR(VLOOKUP(A329,Raw_PriorMonth!A:E,5,FALSE),0)),0)</f>
        <v/>
      </c>
      <c r="N329" s="14">
        <f>IF(A329="","",IFERROR(E329,0)+IFERROR(M329,0))</f>
        <v/>
      </c>
      <c r="O329" s="15">
        <f>IF(A329="","",IF(N329&gt;=28,TRUE,FALSE))</f>
        <v/>
      </c>
      <c r="P329" s="15">
        <f>IF(A329="","",OR(G329=TRUE,O329=TRUE))</f>
        <v/>
      </c>
      <c r="Q329" s="16">
        <f>IF(A329="","",IFERROR(H329,0)+IFERROR(I329,0)+IFERROR(J329,0)+IFERROR(K329,0)+IFERROR(L329,0))</f>
        <v/>
      </c>
      <c r="R329" s="16">
        <f>IF(A329="","",IF(P329=TRUE,0,Q329))</f>
        <v/>
      </c>
      <c r="S329" s="16">
        <f>IF(A329="","",IF(P329=TRUE,0,IFERROR(H329,0)))</f>
        <v/>
      </c>
      <c r="T329" s="16">
        <f>IF(A329="","",IF(P329=TRUE,0,IFERROR(I329,0)))</f>
        <v/>
      </c>
      <c r="U329" s="16">
        <f>IF(A329="","",IF(P329=TRUE,0,IFERROR(J329,0)))</f>
        <v/>
      </c>
      <c r="V329" s="16">
        <f>IF(A329="","",IF(P329=TRUE,0,IFERROR(K329,0)))</f>
        <v/>
      </c>
      <c r="W329" s="16">
        <f>IF(A329="","",IF(P329=TRUE,0,IFERROR(L329,0)))</f>
        <v/>
      </c>
      <c r="X329" s="16">
        <f>IF(A329="","",IF(P329=TRUE,0,IFERROR(H329,0)+IFERROR(I329,0)+IFERROR(L329,0)))</f>
        <v/>
      </c>
      <c r="Y329" s="16">
        <f>IF(A329="",0,IF(G329=TRUE,IFERROR(H329,0)+IFERROR(I329,0)+IFERROR(J329,0)+IFERROR(K329,0)+IFERROR(L329,0),0))</f>
        <v/>
      </c>
      <c r="Z329" s="16">
        <f>IF(A329="",0,IF(AND(O329=TRUE,G329&lt;&gt;TRUE),IFERROR(H329,0)+IFERROR(I329,0)+IFERROR(J329,0)+IFERROR(K329,0)+IFERROR(L329,0),0))</f>
        <v/>
      </c>
    </row>
    <row r="330">
      <c r="A330" s="10" t="n"/>
      <c r="B330" s="10" t="n"/>
      <c r="C330" s="11" t="n"/>
      <c r="D330" s="11" t="n"/>
      <c r="E330" s="10" t="n"/>
      <c r="F330" s="10" t="n"/>
      <c r="G330" s="12" t="n"/>
      <c r="H330" s="13" t="n"/>
      <c r="I330" s="13" t="n"/>
      <c r="J330" s="13" t="n"/>
      <c r="K330" s="13" t="n"/>
      <c r="L330" s="13" t="n"/>
      <c r="M330" s="14">
        <f>IFERROR(IF(A330="","",IFERROR(VLOOKUP(A330,Raw_PriorMonth!A:E,5,FALSE),0)),0)</f>
        <v/>
      </c>
      <c r="N330" s="14">
        <f>IF(A330="","",IFERROR(E330,0)+IFERROR(M330,0))</f>
        <v/>
      </c>
      <c r="O330" s="15">
        <f>IF(A330="","",IF(N330&gt;=28,TRUE,FALSE))</f>
        <v/>
      </c>
      <c r="P330" s="15">
        <f>IF(A330="","",OR(G330=TRUE,O330=TRUE))</f>
        <v/>
      </c>
      <c r="Q330" s="16">
        <f>IF(A330="","",IFERROR(H330,0)+IFERROR(I330,0)+IFERROR(J330,0)+IFERROR(K330,0)+IFERROR(L330,0))</f>
        <v/>
      </c>
      <c r="R330" s="16">
        <f>IF(A330="","",IF(P330=TRUE,0,Q330))</f>
        <v/>
      </c>
      <c r="S330" s="16">
        <f>IF(A330="","",IF(P330=TRUE,0,IFERROR(H330,0)))</f>
        <v/>
      </c>
      <c r="T330" s="16">
        <f>IF(A330="","",IF(P330=TRUE,0,IFERROR(I330,0)))</f>
        <v/>
      </c>
      <c r="U330" s="16">
        <f>IF(A330="","",IF(P330=TRUE,0,IFERROR(J330,0)))</f>
        <v/>
      </c>
      <c r="V330" s="16">
        <f>IF(A330="","",IF(P330=TRUE,0,IFERROR(K330,0)))</f>
        <v/>
      </c>
      <c r="W330" s="16">
        <f>IF(A330="","",IF(P330=TRUE,0,IFERROR(L330,0)))</f>
        <v/>
      </c>
      <c r="X330" s="16">
        <f>IF(A330="","",IF(P330=TRUE,0,IFERROR(H330,0)+IFERROR(I330,0)+IFERROR(L330,0)))</f>
        <v/>
      </c>
      <c r="Y330" s="16">
        <f>IF(A330="",0,IF(G330=TRUE,IFERROR(H330,0)+IFERROR(I330,0)+IFERROR(J330,0)+IFERROR(K330,0)+IFERROR(L330,0),0))</f>
        <v/>
      </c>
      <c r="Z330" s="16">
        <f>IF(A330="",0,IF(AND(O330=TRUE,G330&lt;&gt;TRUE),IFERROR(H330,0)+IFERROR(I330,0)+IFERROR(J330,0)+IFERROR(K330,0)+IFERROR(L330,0),0))</f>
        <v/>
      </c>
    </row>
    <row r="331">
      <c r="A331" s="10" t="n"/>
      <c r="B331" s="10" t="n"/>
      <c r="C331" s="11" t="n"/>
      <c r="D331" s="11" t="n"/>
      <c r="E331" s="10" t="n"/>
      <c r="F331" s="10" t="n"/>
      <c r="G331" s="12" t="n"/>
      <c r="H331" s="13" t="n"/>
      <c r="I331" s="13" t="n"/>
      <c r="J331" s="13" t="n"/>
      <c r="K331" s="13" t="n"/>
      <c r="L331" s="13" t="n"/>
      <c r="M331" s="14">
        <f>IFERROR(IF(A331="","",IFERROR(VLOOKUP(A331,Raw_PriorMonth!A:E,5,FALSE),0)),0)</f>
        <v/>
      </c>
      <c r="N331" s="14">
        <f>IF(A331="","",IFERROR(E331,0)+IFERROR(M331,0))</f>
        <v/>
      </c>
      <c r="O331" s="15">
        <f>IF(A331="","",IF(N331&gt;=28,TRUE,FALSE))</f>
        <v/>
      </c>
      <c r="P331" s="15">
        <f>IF(A331="","",OR(G331=TRUE,O331=TRUE))</f>
        <v/>
      </c>
      <c r="Q331" s="16">
        <f>IF(A331="","",IFERROR(H331,0)+IFERROR(I331,0)+IFERROR(J331,0)+IFERROR(K331,0)+IFERROR(L331,0))</f>
        <v/>
      </c>
      <c r="R331" s="16">
        <f>IF(A331="","",IF(P331=TRUE,0,Q331))</f>
        <v/>
      </c>
      <c r="S331" s="16">
        <f>IF(A331="","",IF(P331=TRUE,0,IFERROR(H331,0)))</f>
        <v/>
      </c>
      <c r="T331" s="16">
        <f>IF(A331="","",IF(P331=TRUE,0,IFERROR(I331,0)))</f>
        <v/>
      </c>
      <c r="U331" s="16">
        <f>IF(A331="","",IF(P331=TRUE,0,IFERROR(J331,0)))</f>
        <v/>
      </c>
      <c r="V331" s="16">
        <f>IF(A331="","",IF(P331=TRUE,0,IFERROR(K331,0)))</f>
        <v/>
      </c>
      <c r="W331" s="16">
        <f>IF(A331="","",IF(P331=TRUE,0,IFERROR(L331,0)))</f>
        <v/>
      </c>
      <c r="X331" s="16">
        <f>IF(A331="","",IF(P331=TRUE,0,IFERROR(H331,0)+IFERROR(I331,0)+IFERROR(L331,0)))</f>
        <v/>
      </c>
      <c r="Y331" s="16">
        <f>IF(A331="",0,IF(G331=TRUE,IFERROR(H331,0)+IFERROR(I331,0)+IFERROR(J331,0)+IFERROR(K331,0)+IFERROR(L331,0),0))</f>
        <v/>
      </c>
      <c r="Z331" s="16">
        <f>IF(A331="",0,IF(AND(O331=TRUE,G331&lt;&gt;TRUE),IFERROR(H331,0)+IFERROR(I331,0)+IFERROR(J331,0)+IFERROR(K331,0)+IFERROR(L331,0),0))</f>
        <v/>
      </c>
    </row>
    <row r="332">
      <c r="A332" s="10" t="n"/>
      <c r="B332" s="10" t="n"/>
      <c r="C332" s="11" t="n"/>
      <c r="D332" s="11" t="n"/>
      <c r="E332" s="10" t="n"/>
      <c r="F332" s="10" t="n"/>
      <c r="G332" s="12" t="n"/>
      <c r="H332" s="13" t="n"/>
      <c r="I332" s="13" t="n"/>
      <c r="J332" s="13" t="n"/>
      <c r="K332" s="13" t="n"/>
      <c r="L332" s="13" t="n"/>
      <c r="M332" s="14">
        <f>IFERROR(IF(A332="","",IFERROR(VLOOKUP(A332,Raw_PriorMonth!A:E,5,FALSE),0)),0)</f>
        <v/>
      </c>
      <c r="N332" s="14">
        <f>IF(A332="","",IFERROR(E332,0)+IFERROR(M332,0))</f>
        <v/>
      </c>
      <c r="O332" s="15">
        <f>IF(A332="","",IF(N332&gt;=28,TRUE,FALSE))</f>
        <v/>
      </c>
      <c r="P332" s="15">
        <f>IF(A332="","",OR(G332=TRUE,O332=TRUE))</f>
        <v/>
      </c>
      <c r="Q332" s="16">
        <f>IF(A332="","",IFERROR(H332,0)+IFERROR(I332,0)+IFERROR(J332,0)+IFERROR(K332,0)+IFERROR(L332,0))</f>
        <v/>
      </c>
      <c r="R332" s="16">
        <f>IF(A332="","",IF(P332=TRUE,0,Q332))</f>
        <v/>
      </c>
      <c r="S332" s="16">
        <f>IF(A332="","",IF(P332=TRUE,0,IFERROR(H332,0)))</f>
        <v/>
      </c>
      <c r="T332" s="16">
        <f>IF(A332="","",IF(P332=TRUE,0,IFERROR(I332,0)))</f>
        <v/>
      </c>
      <c r="U332" s="16">
        <f>IF(A332="","",IF(P332=TRUE,0,IFERROR(J332,0)))</f>
        <v/>
      </c>
      <c r="V332" s="16">
        <f>IF(A332="","",IF(P332=TRUE,0,IFERROR(K332,0)))</f>
        <v/>
      </c>
      <c r="W332" s="16">
        <f>IF(A332="","",IF(P332=TRUE,0,IFERROR(L332,0)))</f>
        <v/>
      </c>
      <c r="X332" s="16">
        <f>IF(A332="","",IF(P332=TRUE,0,IFERROR(H332,0)+IFERROR(I332,0)+IFERROR(L332,0)))</f>
        <v/>
      </c>
      <c r="Y332" s="16">
        <f>IF(A332="",0,IF(G332=TRUE,IFERROR(H332,0)+IFERROR(I332,0)+IFERROR(J332,0)+IFERROR(K332,0)+IFERROR(L332,0),0))</f>
        <v/>
      </c>
      <c r="Z332" s="16">
        <f>IF(A332="",0,IF(AND(O332=TRUE,G332&lt;&gt;TRUE),IFERROR(H332,0)+IFERROR(I332,0)+IFERROR(J332,0)+IFERROR(K332,0)+IFERROR(L332,0),0))</f>
        <v/>
      </c>
    </row>
    <row r="333">
      <c r="A333" s="10" t="n"/>
      <c r="B333" s="10" t="n"/>
      <c r="C333" s="11" t="n"/>
      <c r="D333" s="11" t="n"/>
      <c r="E333" s="10" t="n"/>
      <c r="F333" s="10" t="n"/>
      <c r="G333" s="12" t="n"/>
      <c r="H333" s="13" t="n"/>
      <c r="I333" s="13" t="n"/>
      <c r="J333" s="13" t="n"/>
      <c r="K333" s="13" t="n"/>
      <c r="L333" s="13" t="n"/>
      <c r="M333" s="14">
        <f>IFERROR(IF(A333="","",IFERROR(VLOOKUP(A333,Raw_PriorMonth!A:E,5,FALSE),0)),0)</f>
        <v/>
      </c>
      <c r="N333" s="14">
        <f>IF(A333="","",IFERROR(E333,0)+IFERROR(M333,0))</f>
        <v/>
      </c>
      <c r="O333" s="15">
        <f>IF(A333="","",IF(N333&gt;=28,TRUE,FALSE))</f>
        <v/>
      </c>
      <c r="P333" s="15">
        <f>IF(A333="","",OR(G333=TRUE,O333=TRUE))</f>
        <v/>
      </c>
      <c r="Q333" s="16">
        <f>IF(A333="","",IFERROR(H333,0)+IFERROR(I333,0)+IFERROR(J333,0)+IFERROR(K333,0)+IFERROR(L333,0))</f>
        <v/>
      </c>
      <c r="R333" s="16">
        <f>IF(A333="","",IF(P333=TRUE,0,Q333))</f>
        <v/>
      </c>
      <c r="S333" s="16">
        <f>IF(A333="","",IF(P333=TRUE,0,IFERROR(H333,0)))</f>
        <v/>
      </c>
      <c r="T333" s="16">
        <f>IF(A333="","",IF(P333=TRUE,0,IFERROR(I333,0)))</f>
        <v/>
      </c>
      <c r="U333" s="16">
        <f>IF(A333="","",IF(P333=TRUE,0,IFERROR(J333,0)))</f>
        <v/>
      </c>
      <c r="V333" s="16">
        <f>IF(A333="","",IF(P333=TRUE,0,IFERROR(K333,0)))</f>
        <v/>
      </c>
      <c r="W333" s="16">
        <f>IF(A333="","",IF(P333=TRUE,0,IFERROR(L333,0)))</f>
        <v/>
      </c>
      <c r="X333" s="16">
        <f>IF(A333="","",IF(P333=TRUE,0,IFERROR(H333,0)+IFERROR(I333,0)+IFERROR(L333,0)))</f>
        <v/>
      </c>
      <c r="Y333" s="16">
        <f>IF(A333="",0,IF(G333=TRUE,IFERROR(H333,0)+IFERROR(I333,0)+IFERROR(J333,0)+IFERROR(K333,0)+IFERROR(L333,0),0))</f>
        <v/>
      </c>
      <c r="Z333" s="16">
        <f>IF(A333="",0,IF(AND(O333=TRUE,G333&lt;&gt;TRUE),IFERROR(H333,0)+IFERROR(I333,0)+IFERROR(J333,0)+IFERROR(K333,0)+IFERROR(L333,0),0))</f>
        <v/>
      </c>
    </row>
    <row r="334">
      <c r="A334" s="10" t="n"/>
      <c r="B334" s="10" t="n"/>
      <c r="C334" s="11" t="n"/>
      <c r="D334" s="11" t="n"/>
      <c r="E334" s="10" t="n"/>
      <c r="F334" s="10" t="n"/>
      <c r="G334" s="12" t="n"/>
      <c r="H334" s="13" t="n"/>
      <c r="I334" s="13" t="n"/>
      <c r="J334" s="13" t="n"/>
      <c r="K334" s="13" t="n"/>
      <c r="L334" s="13" t="n"/>
      <c r="M334" s="14">
        <f>IFERROR(IF(A334="","",IFERROR(VLOOKUP(A334,Raw_PriorMonth!A:E,5,FALSE),0)),0)</f>
        <v/>
      </c>
      <c r="N334" s="14">
        <f>IF(A334="","",IFERROR(E334,0)+IFERROR(M334,0))</f>
        <v/>
      </c>
      <c r="O334" s="15">
        <f>IF(A334="","",IF(N334&gt;=28,TRUE,FALSE))</f>
        <v/>
      </c>
      <c r="P334" s="15">
        <f>IF(A334="","",OR(G334=TRUE,O334=TRUE))</f>
        <v/>
      </c>
      <c r="Q334" s="16">
        <f>IF(A334="","",IFERROR(H334,0)+IFERROR(I334,0)+IFERROR(J334,0)+IFERROR(K334,0)+IFERROR(L334,0))</f>
        <v/>
      </c>
      <c r="R334" s="16">
        <f>IF(A334="","",IF(P334=TRUE,0,Q334))</f>
        <v/>
      </c>
      <c r="S334" s="16">
        <f>IF(A334="","",IF(P334=TRUE,0,IFERROR(H334,0)))</f>
        <v/>
      </c>
      <c r="T334" s="16">
        <f>IF(A334="","",IF(P334=TRUE,0,IFERROR(I334,0)))</f>
        <v/>
      </c>
      <c r="U334" s="16">
        <f>IF(A334="","",IF(P334=TRUE,0,IFERROR(J334,0)))</f>
        <v/>
      </c>
      <c r="V334" s="16">
        <f>IF(A334="","",IF(P334=TRUE,0,IFERROR(K334,0)))</f>
        <v/>
      </c>
      <c r="W334" s="16">
        <f>IF(A334="","",IF(P334=TRUE,0,IFERROR(L334,0)))</f>
        <v/>
      </c>
      <c r="X334" s="16">
        <f>IF(A334="","",IF(P334=TRUE,0,IFERROR(H334,0)+IFERROR(I334,0)+IFERROR(L334,0)))</f>
        <v/>
      </c>
      <c r="Y334" s="16">
        <f>IF(A334="",0,IF(G334=TRUE,IFERROR(H334,0)+IFERROR(I334,0)+IFERROR(J334,0)+IFERROR(K334,0)+IFERROR(L334,0),0))</f>
        <v/>
      </c>
      <c r="Z334" s="16">
        <f>IF(A334="",0,IF(AND(O334=TRUE,G334&lt;&gt;TRUE),IFERROR(H334,0)+IFERROR(I334,0)+IFERROR(J334,0)+IFERROR(K334,0)+IFERROR(L334,0),0))</f>
        <v/>
      </c>
    </row>
    <row r="335">
      <c r="A335" s="10" t="n"/>
      <c r="B335" s="10" t="n"/>
      <c r="C335" s="11" t="n"/>
      <c r="D335" s="11" t="n"/>
      <c r="E335" s="10" t="n"/>
      <c r="F335" s="10" t="n"/>
      <c r="G335" s="12" t="n"/>
      <c r="H335" s="13" t="n"/>
      <c r="I335" s="13" t="n"/>
      <c r="J335" s="13" t="n"/>
      <c r="K335" s="13" t="n"/>
      <c r="L335" s="13" t="n"/>
      <c r="M335" s="14">
        <f>IFERROR(IF(A335="","",IFERROR(VLOOKUP(A335,Raw_PriorMonth!A:E,5,FALSE),0)),0)</f>
        <v/>
      </c>
      <c r="N335" s="14">
        <f>IF(A335="","",IFERROR(E335,0)+IFERROR(M335,0))</f>
        <v/>
      </c>
      <c r="O335" s="15">
        <f>IF(A335="","",IF(N335&gt;=28,TRUE,FALSE))</f>
        <v/>
      </c>
      <c r="P335" s="15">
        <f>IF(A335="","",OR(G335=TRUE,O335=TRUE))</f>
        <v/>
      </c>
      <c r="Q335" s="16">
        <f>IF(A335="","",IFERROR(H335,0)+IFERROR(I335,0)+IFERROR(J335,0)+IFERROR(K335,0)+IFERROR(L335,0))</f>
        <v/>
      </c>
      <c r="R335" s="16">
        <f>IF(A335="","",IF(P335=TRUE,0,Q335))</f>
        <v/>
      </c>
      <c r="S335" s="16">
        <f>IF(A335="","",IF(P335=TRUE,0,IFERROR(H335,0)))</f>
        <v/>
      </c>
      <c r="T335" s="16">
        <f>IF(A335="","",IF(P335=TRUE,0,IFERROR(I335,0)))</f>
        <v/>
      </c>
      <c r="U335" s="16">
        <f>IF(A335="","",IF(P335=TRUE,0,IFERROR(J335,0)))</f>
        <v/>
      </c>
      <c r="V335" s="16">
        <f>IF(A335="","",IF(P335=TRUE,0,IFERROR(K335,0)))</f>
        <v/>
      </c>
      <c r="W335" s="16">
        <f>IF(A335="","",IF(P335=TRUE,0,IFERROR(L335,0)))</f>
        <v/>
      </c>
      <c r="X335" s="16">
        <f>IF(A335="","",IF(P335=TRUE,0,IFERROR(H335,0)+IFERROR(I335,0)+IFERROR(L335,0)))</f>
        <v/>
      </c>
      <c r="Y335" s="16">
        <f>IF(A335="",0,IF(G335=TRUE,IFERROR(H335,0)+IFERROR(I335,0)+IFERROR(J335,0)+IFERROR(K335,0)+IFERROR(L335,0),0))</f>
        <v/>
      </c>
      <c r="Z335" s="16">
        <f>IF(A335="",0,IF(AND(O335=TRUE,G335&lt;&gt;TRUE),IFERROR(H335,0)+IFERROR(I335,0)+IFERROR(J335,0)+IFERROR(K335,0)+IFERROR(L335,0),0))</f>
        <v/>
      </c>
    </row>
    <row r="336">
      <c r="A336" s="10" t="n"/>
      <c r="B336" s="10" t="n"/>
      <c r="C336" s="11" t="n"/>
      <c r="D336" s="11" t="n"/>
      <c r="E336" s="10" t="n"/>
      <c r="F336" s="10" t="n"/>
      <c r="G336" s="12" t="n"/>
      <c r="H336" s="13" t="n"/>
      <c r="I336" s="13" t="n"/>
      <c r="J336" s="13" t="n"/>
      <c r="K336" s="13" t="n"/>
      <c r="L336" s="13" t="n"/>
      <c r="M336" s="14">
        <f>IFERROR(IF(A336="","",IFERROR(VLOOKUP(A336,Raw_PriorMonth!A:E,5,FALSE),0)),0)</f>
        <v/>
      </c>
      <c r="N336" s="14">
        <f>IF(A336="","",IFERROR(E336,0)+IFERROR(M336,0))</f>
        <v/>
      </c>
      <c r="O336" s="15">
        <f>IF(A336="","",IF(N336&gt;=28,TRUE,FALSE))</f>
        <v/>
      </c>
      <c r="P336" s="15">
        <f>IF(A336="","",OR(G336=TRUE,O336=TRUE))</f>
        <v/>
      </c>
      <c r="Q336" s="16">
        <f>IF(A336="","",IFERROR(H336,0)+IFERROR(I336,0)+IFERROR(J336,0)+IFERROR(K336,0)+IFERROR(L336,0))</f>
        <v/>
      </c>
      <c r="R336" s="16">
        <f>IF(A336="","",IF(P336=TRUE,0,Q336))</f>
        <v/>
      </c>
      <c r="S336" s="16">
        <f>IF(A336="","",IF(P336=TRUE,0,IFERROR(H336,0)))</f>
        <v/>
      </c>
      <c r="T336" s="16">
        <f>IF(A336="","",IF(P336=TRUE,0,IFERROR(I336,0)))</f>
        <v/>
      </c>
      <c r="U336" s="16">
        <f>IF(A336="","",IF(P336=TRUE,0,IFERROR(J336,0)))</f>
        <v/>
      </c>
      <c r="V336" s="16">
        <f>IF(A336="","",IF(P336=TRUE,0,IFERROR(K336,0)))</f>
        <v/>
      </c>
      <c r="W336" s="16">
        <f>IF(A336="","",IF(P336=TRUE,0,IFERROR(L336,0)))</f>
        <v/>
      </c>
      <c r="X336" s="16">
        <f>IF(A336="","",IF(P336=TRUE,0,IFERROR(H336,0)+IFERROR(I336,0)+IFERROR(L336,0)))</f>
        <v/>
      </c>
      <c r="Y336" s="16">
        <f>IF(A336="",0,IF(G336=TRUE,IFERROR(H336,0)+IFERROR(I336,0)+IFERROR(J336,0)+IFERROR(K336,0)+IFERROR(L336,0),0))</f>
        <v/>
      </c>
      <c r="Z336" s="16">
        <f>IF(A336="",0,IF(AND(O336=TRUE,G336&lt;&gt;TRUE),IFERROR(H336,0)+IFERROR(I336,0)+IFERROR(J336,0)+IFERROR(K336,0)+IFERROR(L336,0),0))</f>
        <v/>
      </c>
    </row>
    <row r="337">
      <c r="A337" s="10" t="n"/>
      <c r="B337" s="10" t="n"/>
      <c r="C337" s="11" t="n"/>
      <c r="D337" s="11" t="n"/>
      <c r="E337" s="10" t="n"/>
      <c r="F337" s="10" t="n"/>
      <c r="G337" s="12" t="n"/>
      <c r="H337" s="13" t="n"/>
      <c r="I337" s="13" t="n"/>
      <c r="J337" s="13" t="n"/>
      <c r="K337" s="13" t="n"/>
      <c r="L337" s="13" t="n"/>
      <c r="M337" s="14">
        <f>IFERROR(IF(A337="","",IFERROR(VLOOKUP(A337,Raw_PriorMonth!A:E,5,FALSE),0)),0)</f>
        <v/>
      </c>
      <c r="N337" s="14">
        <f>IF(A337="","",IFERROR(E337,0)+IFERROR(M337,0))</f>
        <v/>
      </c>
      <c r="O337" s="15">
        <f>IF(A337="","",IF(N337&gt;=28,TRUE,FALSE))</f>
        <v/>
      </c>
      <c r="P337" s="15">
        <f>IF(A337="","",OR(G337=TRUE,O337=TRUE))</f>
        <v/>
      </c>
      <c r="Q337" s="16">
        <f>IF(A337="","",IFERROR(H337,0)+IFERROR(I337,0)+IFERROR(J337,0)+IFERROR(K337,0)+IFERROR(L337,0))</f>
        <v/>
      </c>
      <c r="R337" s="16">
        <f>IF(A337="","",IF(P337=TRUE,0,Q337))</f>
        <v/>
      </c>
      <c r="S337" s="16">
        <f>IF(A337="","",IF(P337=TRUE,0,IFERROR(H337,0)))</f>
        <v/>
      </c>
      <c r="T337" s="16">
        <f>IF(A337="","",IF(P337=TRUE,0,IFERROR(I337,0)))</f>
        <v/>
      </c>
      <c r="U337" s="16">
        <f>IF(A337="","",IF(P337=TRUE,0,IFERROR(J337,0)))</f>
        <v/>
      </c>
      <c r="V337" s="16">
        <f>IF(A337="","",IF(P337=TRUE,0,IFERROR(K337,0)))</f>
        <v/>
      </c>
      <c r="W337" s="16">
        <f>IF(A337="","",IF(P337=TRUE,0,IFERROR(L337,0)))</f>
        <v/>
      </c>
      <c r="X337" s="16">
        <f>IF(A337="","",IF(P337=TRUE,0,IFERROR(H337,0)+IFERROR(I337,0)+IFERROR(L337,0)))</f>
        <v/>
      </c>
      <c r="Y337" s="16">
        <f>IF(A337="",0,IF(G337=TRUE,IFERROR(H337,0)+IFERROR(I337,0)+IFERROR(J337,0)+IFERROR(K337,0)+IFERROR(L337,0),0))</f>
        <v/>
      </c>
      <c r="Z337" s="16">
        <f>IF(A337="",0,IF(AND(O337=TRUE,G337&lt;&gt;TRUE),IFERROR(H337,0)+IFERROR(I337,0)+IFERROR(J337,0)+IFERROR(K337,0)+IFERROR(L337,0),0))</f>
        <v/>
      </c>
    </row>
    <row r="338">
      <c r="A338" s="10" t="n"/>
      <c r="B338" s="10" t="n"/>
      <c r="C338" s="11" t="n"/>
      <c r="D338" s="11" t="n"/>
      <c r="E338" s="10" t="n"/>
      <c r="F338" s="10" t="n"/>
      <c r="G338" s="12" t="n"/>
      <c r="H338" s="13" t="n"/>
      <c r="I338" s="13" t="n"/>
      <c r="J338" s="13" t="n"/>
      <c r="K338" s="13" t="n"/>
      <c r="L338" s="13" t="n"/>
      <c r="M338" s="14">
        <f>IFERROR(IF(A338="","",IFERROR(VLOOKUP(A338,Raw_PriorMonth!A:E,5,FALSE),0)),0)</f>
        <v/>
      </c>
      <c r="N338" s="14">
        <f>IF(A338="","",IFERROR(E338,0)+IFERROR(M338,0))</f>
        <v/>
      </c>
      <c r="O338" s="15">
        <f>IF(A338="","",IF(N338&gt;=28,TRUE,FALSE))</f>
        <v/>
      </c>
      <c r="P338" s="15">
        <f>IF(A338="","",OR(G338=TRUE,O338=TRUE))</f>
        <v/>
      </c>
      <c r="Q338" s="16">
        <f>IF(A338="","",IFERROR(H338,0)+IFERROR(I338,0)+IFERROR(J338,0)+IFERROR(K338,0)+IFERROR(L338,0))</f>
        <v/>
      </c>
      <c r="R338" s="16">
        <f>IF(A338="","",IF(P338=TRUE,0,Q338))</f>
        <v/>
      </c>
      <c r="S338" s="16">
        <f>IF(A338="","",IF(P338=TRUE,0,IFERROR(H338,0)))</f>
        <v/>
      </c>
      <c r="T338" s="16">
        <f>IF(A338="","",IF(P338=TRUE,0,IFERROR(I338,0)))</f>
        <v/>
      </c>
      <c r="U338" s="16">
        <f>IF(A338="","",IF(P338=TRUE,0,IFERROR(J338,0)))</f>
        <v/>
      </c>
      <c r="V338" s="16">
        <f>IF(A338="","",IF(P338=TRUE,0,IFERROR(K338,0)))</f>
        <v/>
      </c>
      <c r="W338" s="16">
        <f>IF(A338="","",IF(P338=TRUE,0,IFERROR(L338,0)))</f>
        <v/>
      </c>
      <c r="X338" s="16">
        <f>IF(A338="","",IF(P338=TRUE,0,IFERROR(H338,0)+IFERROR(I338,0)+IFERROR(L338,0)))</f>
        <v/>
      </c>
      <c r="Y338" s="16">
        <f>IF(A338="",0,IF(G338=TRUE,IFERROR(H338,0)+IFERROR(I338,0)+IFERROR(J338,0)+IFERROR(K338,0)+IFERROR(L338,0),0))</f>
        <v/>
      </c>
      <c r="Z338" s="16">
        <f>IF(A338="",0,IF(AND(O338=TRUE,G338&lt;&gt;TRUE),IFERROR(H338,0)+IFERROR(I338,0)+IFERROR(J338,0)+IFERROR(K338,0)+IFERROR(L338,0),0))</f>
        <v/>
      </c>
    </row>
    <row r="339">
      <c r="A339" s="10" t="n"/>
      <c r="B339" s="10" t="n"/>
      <c r="C339" s="11" t="n"/>
      <c r="D339" s="11" t="n"/>
      <c r="E339" s="10" t="n"/>
      <c r="F339" s="10" t="n"/>
      <c r="G339" s="12" t="n"/>
      <c r="H339" s="13" t="n"/>
      <c r="I339" s="13" t="n"/>
      <c r="J339" s="13" t="n"/>
      <c r="K339" s="13" t="n"/>
      <c r="L339" s="13" t="n"/>
      <c r="M339" s="14">
        <f>IFERROR(IF(A339="","",IFERROR(VLOOKUP(A339,Raw_PriorMonth!A:E,5,FALSE),0)),0)</f>
        <v/>
      </c>
      <c r="N339" s="14">
        <f>IF(A339="","",IFERROR(E339,0)+IFERROR(M339,0))</f>
        <v/>
      </c>
      <c r="O339" s="15">
        <f>IF(A339="","",IF(N339&gt;=28,TRUE,FALSE))</f>
        <v/>
      </c>
      <c r="P339" s="15">
        <f>IF(A339="","",OR(G339=TRUE,O339=TRUE))</f>
        <v/>
      </c>
      <c r="Q339" s="16">
        <f>IF(A339="","",IFERROR(H339,0)+IFERROR(I339,0)+IFERROR(J339,0)+IFERROR(K339,0)+IFERROR(L339,0))</f>
        <v/>
      </c>
      <c r="R339" s="16">
        <f>IF(A339="","",IF(P339=TRUE,0,Q339))</f>
        <v/>
      </c>
      <c r="S339" s="16">
        <f>IF(A339="","",IF(P339=TRUE,0,IFERROR(H339,0)))</f>
        <v/>
      </c>
      <c r="T339" s="16">
        <f>IF(A339="","",IF(P339=TRUE,0,IFERROR(I339,0)))</f>
        <v/>
      </c>
      <c r="U339" s="16">
        <f>IF(A339="","",IF(P339=TRUE,0,IFERROR(J339,0)))</f>
        <v/>
      </c>
      <c r="V339" s="16">
        <f>IF(A339="","",IF(P339=TRUE,0,IFERROR(K339,0)))</f>
        <v/>
      </c>
      <c r="W339" s="16">
        <f>IF(A339="","",IF(P339=TRUE,0,IFERROR(L339,0)))</f>
        <v/>
      </c>
      <c r="X339" s="16">
        <f>IF(A339="","",IF(P339=TRUE,0,IFERROR(H339,0)+IFERROR(I339,0)+IFERROR(L339,0)))</f>
        <v/>
      </c>
      <c r="Y339" s="16">
        <f>IF(A339="",0,IF(G339=TRUE,IFERROR(H339,0)+IFERROR(I339,0)+IFERROR(J339,0)+IFERROR(K339,0)+IFERROR(L339,0),0))</f>
        <v/>
      </c>
      <c r="Z339" s="16">
        <f>IF(A339="",0,IF(AND(O339=TRUE,G339&lt;&gt;TRUE),IFERROR(H339,0)+IFERROR(I339,0)+IFERROR(J339,0)+IFERROR(K339,0)+IFERROR(L339,0),0))</f>
        <v/>
      </c>
    </row>
    <row r="340">
      <c r="A340" s="10" t="n"/>
      <c r="B340" s="10" t="n"/>
      <c r="C340" s="11" t="n"/>
      <c r="D340" s="11" t="n"/>
      <c r="E340" s="10" t="n"/>
      <c r="F340" s="10" t="n"/>
      <c r="G340" s="12" t="n"/>
      <c r="H340" s="13" t="n"/>
      <c r="I340" s="13" t="n"/>
      <c r="J340" s="13" t="n"/>
      <c r="K340" s="13" t="n"/>
      <c r="L340" s="13" t="n"/>
      <c r="M340" s="14">
        <f>IFERROR(IF(A340="","",IFERROR(VLOOKUP(A340,Raw_PriorMonth!A:E,5,FALSE),0)),0)</f>
        <v/>
      </c>
      <c r="N340" s="14">
        <f>IF(A340="","",IFERROR(E340,0)+IFERROR(M340,0))</f>
        <v/>
      </c>
      <c r="O340" s="15">
        <f>IF(A340="","",IF(N340&gt;=28,TRUE,FALSE))</f>
        <v/>
      </c>
      <c r="P340" s="15">
        <f>IF(A340="","",OR(G340=TRUE,O340=TRUE))</f>
        <v/>
      </c>
      <c r="Q340" s="16">
        <f>IF(A340="","",IFERROR(H340,0)+IFERROR(I340,0)+IFERROR(J340,0)+IFERROR(K340,0)+IFERROR(L340,0))</f>
        <v/>
      </c>
      <c r="R340" s="16">
        <f>IF(A340="","",IF(P340=TRUE,0,Q340))</f>
        <v/>
      </c>
      <c r="S340" s="16">
        <f>IF(A340="","",IF(P340=TRUE,0,IFERROR(H340,0)))</f>
        <v/>
      </c>
      <c r="T340" s="16">
        <f>IF(A340="","",IF(P340=TRUE,0,IFERROR(I340,0)))</f>
        <v/>
      </c>
      <c r="U340" s="16">
        <f>IF(A340="","",IF(P340=TRUE,0,IFERROR(J340,0)))</f>
        <v/>
      </c>
      <c r="V340" s="16">
        <f>IF(A340="","",IF(P340=TRUE,0,IFERROR(K340,0)))</f>
        <v/>
      </c>
      <c r="W340" s="16">
        <f>IF(A340="","",IF(P340=TRUE,0,IFERROR(L340,0)))</f>
        <v/>
      </c>
      <c r="X340" s="16">
        <f>IF(A340="","",IF(P340=TRUE,0,IFERROR(H340,0)+IFERROR(I340,0)+IFERROR(L340,0)))</f>
        <v/>
      </c>
      <c r="Y340" s="16">
        <f>IF(A340="",0,IF(G340=TRUE,IFERROR(H340,0)+IFERROR(I340,0)+IFERROR(J340,0)+IFERROR(K340,0)+IFERROR(L340,0),0))</f>
        <v/>
      </c>
      <c r="Z340" s="16">
        <f>IF(A340="",0,IF(AND(O340=TRUE,G340&lt;&gt;TRUE),IFERROR(H340,0)+IFERROR(I340,0)+IFERROR(J340,0)+IFERROR(K340,0)+IFERROR(L340,0),0))</f>
        <v/>
      </c>
    </row>
    <row r="341">
      <c r="A341" s="10" t="n"/>
      <c r="B341" s="10" t="n"/>
      <c r="C341" s="11" t="n"/>
      <c r="D341" s="11" t="n"/>
      <c r="E341" s="10" t="n"/>
      <c r="F341" s="10" t="n"/>
      <c r="G341" s="12" t="n"/>
      <c r="H341" s="13" t="n"/>
      <c r="I341" s="13" t="n"/>
      <c r="J341" s="13" t="n"/>
      <c r="K341" s="13" t="n"/>
      <c r="L341" s="13" t="n"/>
      <c r="M341" s="14">
        <f>IFERROR(IF(A341="","",IFERROR(VLOOKUP(A341,Raw_PriorMonth!A:E,5,FALSE),0)),0)</f>
        <v/>
      </c>
      <c r="N341" s="14">
        <f>IF(A341="","",IFERROR(E341,0)+IFERROR(M341,0))</f>
        <v/>
      </c>
      <c r="O341" s="15">
        <f>IF(A341="","",IF(N341&gt;=28,TRUE,FALSE))</f>
        <v/>
      </c>
      <c r="P341" s="15">
        <f>IF(A341="","",OR(G341=TRUE,O341=TRUE))</f>
        <v/>
      </c>
      <c r="Q341" s="16">
        <f>IF(A341="","",IFERROR(H341,0)+IFERROR(I341,0)+IFERROR(J341,0)+IFERROR(K341,0)+IFERROR(L341,0))</f>
        <v/>
      </c>
      <c r="R341" s="16">
        <f>IF(A341="","",IF(P341=TRUE,0,Q341))</f>
        <v/>
      </c>
      <c r="S341" s="16">
        <f>IF(A341="","",IF(P341=TRUE,0,IFERROR(H341,0)))</f>
        <v/>
      </c>
      <c r="T341" s="16">
        <f>IF(A341="","",IF(P341=TRUE,0,IFERROR(I341,0)))</f>
        <v/>
      </c>
      <c r="U341" s="16">
        <f>IF(A341="","",IF(P341=TRUE,0,IFERROR(J341,0)))</f>
        <v/>
      </c>
      <c r="V341" s="16">
        <f>IF(A341="","",IF(P341=TRUE,0,IFERROR(K341,0)))</f>
        <v/>
      </c>
      <c r="W341" s="16">
        <f>IF(A341="","",IF(P341=TRUE,0,IFERROR(L341,0)))</f>
        <v/>
      </c>
      <c r="X341" s="16">
        <f>IF(A341="","",IF(P341=TRUE,0,IFERROR(H341,0)+IFERROR(I341,0)+IFERROR(L341,0)))</f>
        <v/>
      </c>
      <c r="Y341" s="16">
        <f>IF(A341="",0,IF(G341=TRUE,IFERROR(H341,0)+IFERROR(I341,0)+IFERROR(J341,0)+IFERROR(K341,0)+IFERROR(L341,0),0))</f>
        <v/>
      </c>
      <c r="Z341" s="16">
        <f>IF(A341="",0,IF(AND(O341=TRUE,G341&lt;&gt;TRUE),IFERROR(H341,0)+IFERROR(I341,0)+IFERROR(J341,0)+IFERROR(K341,0)+IFERROR(L341,0),0))</f>
        <v/>
      </c>
    </row>
    <row r="342">
      <c r="A342" s="10" t="n"/>
      <c r="B342" s="10" t="n"/>
      <c r="C342" s="11" t="n"/>
      <c r="D342" s="11" t="n"/>
      <c r="E342" s="10" t="n"/>
      <c r="F342" s="10" t="n"/>
      <c r="G342" s="12" t="n"/>
      <c r="H342" s="13" t="n"/>
      <c r="I342" s="13" t="n"/>
      <c r="J342" s="13" t="n"/>
      <c r="K342" s="13" t="n"/>
      <c r="L342" s="13" t="n"/>
      <c r="M342" s="14">
        <f>IFERROR(IF(A342="","",IFERROR(VLOOKUP(A342,Raw_PriorMonth!A:E,5,FALSE),0)),0)</f>
        <v/>
      </c>
      <c r="N342" s="14">
        <f>IF(A342="","",IFERROR(E342,0)+IFERROR(M342,0))</f>
        <v/>
      </c>
      <c r="O342" s="15">
        <f>IF(A342="","",IF(N342&gt;=28,TRUE,FALSE))</f>
        <v/>
      </c>
      <c r="P342" s="15">
        <f>IF(A342="","",OR(G342=TRUE,O342=TRUE))</f>
        <v/>
      </c>
      <c r="Q342" s="16">
        <f>IF(A342="","",IFERROR(H342,0)+IFERROR(I342,0)+IFERROR(J342,0)+IFERROR(K342,0)+IFERROR(L342,0))</f>
        <v/>
      </c>
      <c r="R342" s="16">
        <f>IF(A342="","",IF(P342=TRUE,0,Q342))</f>
        <v/>
      </c>
      <c r="S342" s="16">
        <f>IF(A342="","",IF(P342=TRUE,0,IFERROR(H342,0)))</f>
        <v/>
      </c>
      <c r="T342" s="16">
        <f>IF(A342="","",IF(P342=TRUE,0,IFERROR(I342,0)))</f>
        <v/>
      </c>
      <c r="U342" s="16">
        <f>IF(A342="","",IF(P342=TRUE,0,IFERROR(J342,0)))</f>
        <v/>
      </c>
      <c r="V342" s="16">
        <f>IF(A342="","",IF(P342=TRUE,0,IFERROR(K342,0)))</f>
        <v/>
      </c>
      <c r="W342" s="16">
        <f>IF(A342="","",IF(P342=TRUE,0,IFERROR(L342,0)))</f>
        <v/>
      </c>
      <c r="X342" s="16">
        <f>IF(A342="","",IF(P342=TRUE,0,IFERROR(H342,0)+IFERROR(I342,0)+IFERROR(L342,0)))</f>
        <v/>
      </c>
      <c r="Y342" s="16">
        <f>IF(A342="",0,IF(G342=TRUE,IFERROR(H342,0)+IFERROR(I342,0)+IFERROR(J342,0)+IFERROR(K342,0)+IFERROR(L342,0),0))</f>
        <v/>
      </c>
      <c r="Z342" s="16">
        <f>IF(A342="",0,IF(AND(O342=TRUE,G342&lt;&gt;TRUE),IFERROR(H342,0)+IFERROR(I342,0)+IFERROR(J342,0)+IFERROR(K342,0)+IFERROR(L342,0),0))</f>
        <v/>
      </c>
    </row>
    <row r="343">
      <c r="A343" s="10" t="n"/>
      <c r="B343" s="10" t="n"/>
      <c r="C343" s="11" t="n"/>
      <c r="D343" s="11" t="n"/>
      <c r="E343" s="10" t="n"/>
      <c r="F343" s="10" t="n"/>
      <c r="G343" s="12" t="n"/>
      <c r="H343" s="13" t="n"/>
      <c r="I343" s="13" t="n"/>
      <c r="J343" s="13" t="n"/>
      <c r="K343" s="13" t="n"/>
      <c r="L343" s="13" t="n"/>
      <c r="M343" s="14">
        <f>IFERROR(IF(A343="","",IFERROR(VLOOKUP(A343,Raw_PriorMonth!A:E,5,FALSE),0)),0)</f>
        <v/>
      </c>
      <c r="N343" s="14">
        <f>IF(A343="","",IFERROR(E343,0)+IFERROR(M343,0))</f>
        <v/>
      </c>
      <c r="O343" s="15">
        <f>IF(A343="","",IF(N343&gt;=28,TRUE,FALSE))</f>
        <v/>
      </c>
      <c r="P343" s="15">
        <f>IF(A343="","",OR(G343=TRUE,O343=TRUE))</f>
        <v/>
      </c>
      <c r="Q343" s="16">
        <f>IF(A343="","",IFERROR(H343,0)+IFERROR(I343,0)+IFERROR(J343,0)+IFERROR(K343,0)+IFERROR(L343,0))</f>
        <v/>
      </c>
      <c r="R343" s="16">
        <f>IF(A343="","",IF(P343=TRUE,0,Q343))</f>
        <v/>
      </c>
      <c r="S343" s="16">
        <f>IF(A343="","",IF(P343=TRUE,0,IFERROR(H343,0)))</f>
        <v/>
      </c>
      <c r="T343" s="16">
        <f>IF(A343="","",IF(P343=TRUE,0,IFERROR(I343,0)))</f>
        <v/>
      </c>
      <c r="U343" s="16">
        <f>IF(A343="","",IF(P343=TRUE,0,IFERROR(J343,0)))</f>
        <v/>
      </c>
      <c r="V343" s="16">
        <f>IF(A343="","",IF(P343=TRUE,0,IFERROR(K343,0)))</f>
        <v/>
      </c>
      <c r="W343" s="16">
        <f>IF(A343="","",IF(P343=TRUE,0,IFERROR(L343,0)))</f>
        <v/>
      </c>
      <c r="X343" s="16">
        <f>IF(A343="","",IF(P343=TRUE,0,IFERROR(H343,0)+IFERROR(I343,0)+IFERROR(L343,0)))</f>
        <v/>
      </c>
      <c r="Y343" s="16">
        <f>IF(A343="",0,IF(G343=TRUE,IFERROR(H343,0)+IFERROR(I343,0)+IFERROR(J343,0)+IFERROR(K343,0)+IFERROR(L343,0),0))</f>
        <v/>
      </c>
      <c r="Z343" s="16">
        <f>IF(A343="",0,IF(AND(O343=TRUE,G343&lt;&gt;TRUE),IFERROR(H343,0)+IFERROR(I343,0)+IFERROR(J343,0)+IFERROR(K343,0)+IFERROR(L343,0),0))</f>
        <v/>
      </c>
    </row>
    <row r="344">
      <c r="A344" s="10" t="n"/>
      <c r="B344" s="10" t="n"/>
      <c r="C344" s="11" t="n"/>
      <c r="D344" s="11" t="n"/>
      <c r="E344" s="10" t="n"/>
      <c r="F344" s="10" t="n"/>
      <c r="G344" s="12" t="n"/>
      <c r="H344" s="13" t="n"/>
      <c r="I344" s="13" t="n"/>
      <c r="J344" s="13" t="n"/>
      <c r="K344" s="13" t="n"/>
      <c r="L344" s="13" t="n"/>
      <c r="M344" s="14">
        <f>IFERROR(IF(A344="","",IFERROR(VLOOKUP(A344,Raw_PriorMonth!A:E,5,FALSE),0)),0)</f>
        <v/>
      </c>
      <c r="N344" s="14">
        <f>IF(A344="","",IFERROR(E344,0)+IFERROR(M344,0))</f>
        <v/>
      </c>
      <c r="O344" s="15">
        <f>IF(A344="","",IF(N344&gt;=28,TRUE,FALSE))</f>
        <v/>
      </c>
      <c r="P344" s="15">
        <f>IF(A344="","",OR(G344=TRUE,O344=TRUE))</f>
        <v/>
      </c>
      <c r="Q344" s="16">
        <f>IF(A344="","",IFERROR(H344,0)+IFERROR(I344,0)+IFERROR(J344,0)+IFERROR(K344,0)+IFERROR(L344,0))</f>
        <v/>
      </c>
      <c r="R344" s="16">
        <f>IF(A344="","",IF(P344=TRUE,0,Q344))</f>
        <v/>
      </c>
      <c r="S344" s="16">
        <f>IF(A344="","",IF(P344=TRUE,0,IFERROR(H344,0)))</f>
        <v/>
      </c>
      <c r="T344" s="16">
        <f>IF(A344="","",IF(P344=TRUE,0,IFERROR(I344,0)))</f>
        <v/>
      </c>
      <c r="U344" s="16">
        <f>IF(A344="","",IF(P344=TRUE,0,IFERROR(J344,0)))</f>
        <v/>
      </c>
      <c r="V344" s="16">
        <f>IF(A344="","",IF(P344=TRUE,0,IFERROR(K344,0)))</f>
        <v/>
      </c>
      <c r="W344" s="16">
        <f>IF(A344="","",IF(P344=TRUE,0,IFERROR(L344,0)))</f>
        <v/>
      </c>
      <c r="X344" s="16">
        <f>IF(A344="","",IF(P344=TRUE,0,IFERROR(H344,0)+IFERROR(I344,0)+IFERROR(L344,0)))</f>
        <v/>
      </c>
      <c r="Y344" s="16">
        <f>IF(A344="",0,IF(G344=TRUE,IFERROR(H344,0)+IFERROR(I344,0)+IFERROR(J344,0)+IFERROR(K344,0)+IFERROR(L344,0),0))</f>
        <v/>
      </c>
      <c r="Z344" s="16">
        <f>IF(A344="",0,IF(AND(O344=TRUE,G344&lt;&gt;TRUE),IFERROR(H344,0)+IFERROR(I344,0)+IFERROR(J344,0)+IFERROR(K344,0)+IFERROR(L344,0),0))</f>
        <v/>
      </c>
    </row>
    <row r="345">
      <c r="A345" s="10" t="n"/>
      <c r="B345" s="10" t="n"/>
      <c r="C345" s="11" t="n"/>
      <c r="D345" s="11" t="n"/>
      <c r="E345" s="10" t="n"/>
      <c r="F345" s="10" t="n"/>
      <c r="G345" s="12" t="n"/>
      <c r="H345" s="13" t="n"/>
      <c r="I345" s="13" t="n"/>
      <c r="J345" s="13" t="n"/>
      <c r="K345" s="13" t="n"/>
      <c r="L345" s="13" t="n"/>
      <c r="M345" s="14">
        <f>IFERROR(IF(A345="","",IFERROR(VLOOKUP(A345,Raw_PriorMonth!A:E,5,FALSE),0)),0)</f>
        <v/>
      </c>
      <c r="N345" s="14">
        <f>IF(A345="","",IFERROR(E345,0)+IFERROR(M345,0))</f>
        <v/>
      </c>
      <c r="O345" s="15">
        <f>IF(A345="","",IF(N345&gt;=28,TRUE,FALSE))</f>
        <v/>
      </c>
      <c r="P345" s="15">
        <f>IF(A345="","",OR(G345=TRUE,O345=TRUE))</f>
        <v/>
      </c>
      <c r="Q345" s="16">
        <f>IF(A345="","",IFERROR(H345,0)+IFERROR(I345,0)+IFERROR(J345,0)+IFERROR(K345,0)+IFERROR(L345,0))</f>
        <v/>
      </c>
      <c r="R345" s="16">
        <f>IF(A345="","",IF(P345=TRUE,0,Q345))</f>
        <v/>
      </c>
      <c r="S345" s="16">
        <f>IF(A345="","",IF(P345=TRUE,0,IFERROR(H345,0)))</f>
        <v/>
      </c>
      <c r="T345" s="16">
        <f>IF(A345="","",IF(P345=TRUE,0,IFERROR(I345,0)))</f>
        <v/>
      </c>
      <c r="U345" s="16">
        <f>IF(A345="","",IF(P345=TRUE,0,IFERROR(J345,0)))</f>
        <v/>
      </c>
      <c r="V345" s="16">
        <f>IF(A345="","",IF(P345=TRUE,0,IFERROR(K345,0)))</f>
        <v/>
      </c>
      <c r="W345" s="16">
        <f>IF(A345="","",IF(P345=TRUE,0,IFERROR(L345,0)))</f>
        <v/>
      </c>
      <c r="X345" s="16">
        <f>IF(A345="","",IF(P345=TRUE,0,IFERROR(H345,0)+IFERROR(I345,0)+IFERROR(L345,0)))</f>
        <v/>
      </c>
      <c r="Y345" s="16">
        <f>IF(A345="",0,IF(G345=TRUE,IFERROR(H345,0)+IFERROR(I345,0)+IFERROR(J345,0)+IFERROR(K345,0)+IFERROR(L345,0),0))</f>
        <v/>
      </c>
      <c r="Z345" s="16">
        <f>IF(A345="",0,IF(AND(O345=TRUE,G345&lt;&gt;TRUE),IFERROR(H345,0)+IFERROR(I345,0)+IFERROR(J345,0)+IFERROR(K345,0)+IFERROR(L345,0),0))</f>
        <v/>
      </c>
    </row>
    <row r="346">
      <c r="A346" s="10" t="n"/>
      <c r="B346" s="10" t="n"/>
      <c r="C346" s="11" t="n"/>
      <c r="D346" s="11" t="n"/>
      <c r="E346" s="10" t="n"/>
      <c r="F346" s="10" t="n"/>
      <c r="G346" s="12" t="n"/>
      <c r="H346" s="13" t="n"/>
      <c r="I346" s="13" t="n"/>
      <c r="J346" s="13" t="n"/>
      <c r="K346" s="13" t="n"/>
      <c r="L346" s="13" t="n"/>
      <c r="M346" s="14">
        <f>IFERROR(IF(A346="","",IFERROR(VLOOKUP(A346,Raw_PriorMonth!A:E,5,FALSE),0)),0)</f>
        <v/>
      </c>
      <c r="N346" s="14">
        <f>IF(A346="","",IFERROR(E346,0)+IFERROR(M346,0))</f>
        <v/>
      </c>
      <c r="O346" s="15">
        <f>IF(A346="","",IF(N346&gt;=28,TRUE,FALSE))</f>
        <v/>
      </c>
      <c r="P346" s="15">
        <f>IF(A346="","",OR(G346=TRUE,O346=TRUE))</f>
        <v/>
      </c>
      <c r="Q346" s="16">
        <f>IF(A346="","",IFERROR(H346,0)+IFERROR(I346,0)+IFERROR(J346,0)+IFERROR(K346,0)+IFERROR(L346,0))</f>
        <v/>
      </c>
      <c r="R346" s="16">
        <f>IF(A346="","",IF(P346=TRUE,0,Q346))</f>
        <v/>
      </c>
      <c r="S346" s="16">
        <f>IF(A346="","",IF(P346=TRUE,0,IFERROR(H346,0)))</f>
        <v/>
      </c>
      <c r="T346" s="16">
        <f>IF(A346="","",IF(P346=TRUE,0,IFERROR(I346,0)))</f>
        <v/>
      </c>
      <c r="U346" s="16">
        <f>IF(A346="","",IF(P346=TRUE,0,IFERROR(J346,0)))</f>
        <v/>
      </c>
      <c r="V346" s="16">
        <f>IF(A346="","",IF(P346=TRUE,0,IFERROR(K346,0)))</f>
        <v/>
      </c>
      <c r="W346" s="16">
        <f>IF(A346="","",IF(P346=TRUE,0,IFERROR(L346,0)))</f>
        <v/>
      </c>
      <c r="X346" s="16">
        <f>IF(A346="","",IF(P346=TRUE,0,IFERROR(H346,0)+IFERROR(I346,0)+IFERROR(L346,0)))</f>
        <v/>
      </c>
      <c r="Y346" s="16">
        <f>IF(A346="",0,IF(G346=TRUE,IFERROR(H346,0)+IFERROR(I346,0)+IFERROR(J346,0)+IFERROR(K346,0)+IFERROR(L346,0),0))</f>
        <v/>
      </c>
      <c r="Z346" s="16">
        <f>IF(A346="",0,IF(AND(O346=TRUE,G346&lt;&gt;TRUE),IFERROR(H346,0)+IFERROR(I346,0)+IFERROR(J346,0)+IFERROR(K346,0)+IFERROR(L346,0),0))</f>
        <v/>
      </c>
    </row>
    <row r="347">
      <c r="A347" s="10" t="n"/>
      <c r="B347" s="10" t="n"/>
      <c r="C347" s="11" t="n"/>
      <c r="D347" s="11" t="n"/>
      <c r="E347" s="10" t="n"/>
      <c r="F347" s="10" t="n"/>
      <c r="G347" s="12" t="n"/>
      <c r="H347" s="13" t="n"/>
      <c r="I347" s="13" t="n"/>
      <c r="J347" s="13" t="n"/>
      <c r="K347" s="13" t="n"/>
      <c r="L347" s="13" t="n"/>
      <c r="M347" s="14">
        <f>IFERROR(IF(A347="","",IFERROR(VLOOKUP(A347,Raw_PriorMonth!A:E,5,FALSE),0)),0)</f>
        <v/>
      </c>
      <c r="N347" s="14">
        <f>IF(A347="","",IFERROR(E347,0)+IFERROR(M347,0))</f>
        <v/>
      </c>
      <c r="O347" s="15">
        <f>IF(A347="","",IF(N347&gt;=28,TRUE,FALSE))</f>
        <v/>
      </c>
      <c r="P347" s="15">
        <f>IF(A347="","",OR(G347=TRUE,O347=TRUE))</f>
        <v/>
      </c>
      <c r="Q347" s="16">
        <f>IF(A347="","",IFERROR(H347,0)+IFERROR(I347,0)+IFERROR(J347,0)+IFERROR(K347,0)+IFERROR(L347,0))</f>
        <v/>
      </c>
      <c r="R347" s="16">
        <f>IF(A347="","",IF(P347=TRUE,0,Q347))</f>
        <v/>
      </c>
      <c r="S347" s="16">
        <f>IF(A347="","",IF(P347=TRUE,0,IFERROR(H347,0)))</f>
        <v/>
      </c>
      <c r="T347" s="16">
        <f>IF(A347="","",IF(P347=TRUE,0,IFERROR(I347,0)))</f>
        <v/>
      </c>
      <c r="U347" s="16">
        <f>IF(A347="","",IF(P347=TRUE,0,IFERROR(J347,0)))</f>
        <v/>
      </c>
      <c r="V347" s="16">
        <f>IF(A347="","",IF(P347=TRUE,0,IFERROR(K347,0)))</f>
        <v/>
      </c>
      <c r="W347" s="16">
        <f>IF(A347="","",IF(P347=TRUE,0,IFERROR(L347,0)))</f>
        <v/>
      </c>
      <c r="X347" s="16">
        <f>IF(A347="","",IF(P347=TRUE,0,IFERROR(H347,0)+IFERROR(I347,0)+IFERROR(L347,0)))</f>
        <v/>
      </c>
      <c r="Y347" s="16">
        <f>IF(A347="",0,IF(G347=TRUE,IFERROR(H347,0)+IFERROR(I347,0)+IFERROR(J347,0)+IFERROR(K347,0)+IFERROR(L347,0),0))</f>
        <v/>
      </c>
      <c r="Z347" s="16">
        <f>IF(A347="",0,IF(AND(O347=TRUE,G347&lt;&gt;TRUE),IFERROR(H347,0)+IFERROR(I347,0)+IFERROR(J347,0)+IFERROR(K347,0)+IFERROR(L347,0),0))</f>
        <v/>
      </c>
    </row>
    <row r="348">
      <c r="A348" s="10" t="n"/>
      <c r="B348" s="10" t="n"/>
      <c r="C348" s="11" t="n"/>
      <c r="D348" s="11" t="n"/>
      <c r="E348" s="10" t="n"/>
      <c r="F348" s="10" t="n"/>
      <c r="G348" s="12" t="n"/>
      <c r="H348" s="13" t="n"/>
      <c r="I348" s="13" t="n"/>
      <c r="J348" s="13" t="n"/>
      <c r="K348" s="13" t="n"/>
      <c r="L348" s="13" t="n"/>
      <c r="M348" s="14">
        <f>IFERROR(IF(A348="","",IFERROR(VLOOKUP(A348,Raw_PriorMonth!A:E,5,FALSE),0)),0)</f>
        <v/>
      </c>
      <c r="N348" s="14">
        <f>IF(A348="","",IFERROR(E348,0)+IFERROR(M348,0))</f>
        <v/>
      </c>
      <c r="O348" s="15">
        <f>IF(A348="","",IF(N348&gt;=28,TRUE,FALSE))</f>
        <v/>
      </c>
      <c r="P348" s="15">
        <f>IF(A348="","",OR(G348=TRUE,O348=TRUE))</f>
        <v/>
      </c>
      <c r="Q348" s="16">
        <f>IF(A348="","",IFERROR(H348,0)+IFERROR(I348,0)+IFERROR(J348,0)+IFERROR(K348,0)+IFERROR(L348,0))</f>
        <v/>
      </c>
      <c r="R348" s="16">
        <f>IF(A348="","",IF(P348=TRUE,0,Q348))</f>
        <v/>
      </c>
      <c r="S348" s="16">
        <f>IF(A348="","",IF(P348=TRUE,0,IFERROR(H348,0)))</f>
        <v/>
      </c>
      <c r="T348" s="16">
        <f>IF(A348="","",IF(P348=TRUE,0,IFERROR(I348,0)))</f>
        <v/>
      </c>
      <c r="U348" s="16">
        <f>IF(A348="","",IF(P348=TRUE,0,IFERROR(J348,0)))</f>
        <v/>
      </c>
      <c r="V348" s="16">
        <f>IF(A348="","",IF(P348=TRUE,0,IFERROR(K348,0)))</f>
        <v/>
      </c>
      <c r="W348" s="16">
        <f>IF(A348="","",IF(P348=TRUE,0,IFERROR(L348,0)))</f>
        <v/>
      </c>
      <c r="X348" s="16">
        <f>IF(A348="","",IF(P348=TRUE,0,IFERROR(H348,0)+IFERROR(I348,0)+IFERROR(L348,0)))</f>
        <v/>
      </c>
      <c r="Y348" s="16">
        <f>IF(A348="",0,IF(G348=TRUE,IFERROR(H348,0)+IFERROR(I348,0)+IFERROR(J348,0)+IFERROR(K348,0)+IFERROR(L348,0),0))</f>
        <v/>
      </c>
      <c r="Z348" s="16">
        <f>IF(A348="",0,IF(AND(O348=TRUE,G348&lt;&gt;TRUE),IFERROR(H348,0)+IFERROR(I348,0)+IFERROR(J348,0)+IFERROR(K348,0)+IFERROR(L348,0),0))</f>
        <v/>
      </c>
    </row>
    <row r="349">
      <c r="A349" s="10" t="n"/>
      <c r="B349" s="10" t="n"/>
      <c r="C349" s="11" t="n"/>
      <c r="D349" s="11" t="n"/>
      <c r="E349" s="10" t="n"/>
      <c r="F349" s="10" t="n"/>
      <c r="G349" s="12" t="n"/>
      <c r="H349" s="13" t="n"/>
      <c r="I349" s="13" t="n"/>
      <c r="J349" s="13" t="n"/>
      <c r="K349" s="13" t="n"/>
      <c r="L349" s="13" t="n"/>
      <c r="M349" s="14">
        <f>IFERROR(IF(A349="","",IFERROR(VLOOKUP(A349,Raw_PriorMonth!A:E,5,FALSE),0)),0)</f>
        <v/>
      </c>
      <c r="N349" s="14">
        <f>IF(A349="","",IFERROR(E349,0)+IFERROR(M349,0))</f>
        <v/>
      </c>
      <c r="O349" s="15">
        <f>IF(A349="","",IF(N349&gt;=28,TRUE,FALSE))</f>
        <v/>
      </c>
      <c r="P349" s="15">
        <f>IF(A349="","",OR(G349=TRUE,O349=TRUE))</f>
        <v/>
      </c>
      <c r="Q349" s="16">
        <f>IF(A349="","",IFERROR(H349,0)+IFERROR(I349,0)+IFERROR(J349,0)+IFERROR(K349,0)+IFERROR(L349,0))</f>
        <v/>
      </c>
      <c r="R349" s="16">
        <f>IF(A349="","",IF(P349=TRUE,0,Q349))</f>
        <v/>
      </c>
      <c r="S349" s="16">
        <f>IF(A349="","",IF(P349=TRUE,0,IFERROR(H349,0)))</f>
        <v/>
      </c>
      <c r="T349" s="16">
        <f>IF(A349="","",IF(P349=TRUE,0,IFERROR(I349,0)))</f>
        <v/>
      </c>
      <c r="U349" s="16">
        <f>IF(A349="","",IF(P349=TRUE,0,IFERROR(J349,0)))</f>
        <v/>
      </c>
      <c r="V349" s="16">
        <f>IF(A349="","",IF(P349=TRUE,0,IFERROR(K349,0)))</f>
        <v/>
      </c>
      <c r="W349" s="16">
        <f>IF(A349="","",IF(P349=TRUE,0,IFERROR(L349,0)))</f>
        <v/>
      </c>
      <c r="X349" s="16">
        <f>IF(A349="","",IF(P349=TRUE,0,IFERROR(H349,0)+IFERROR(I349,0)+IFERROR(L349,0)))</f>
        <v/>
      </c>
      <c r="Y349" s="16">
        <f>IF(A349="",0,IF(G349=TRUE,IFERROR(H349,0)+IFERROR(I349,0)+IFERROR(J349,0)+IFERROR(K349,0)+IFERROR(L349,0),0))</f>
        <v/>
      </c>
      <c r="Z349" s="16">
        <f>IF(A349="",0,IF(AND(O349=TRUE,G349&lt;&gt;TRUE),IFERROR(H349,0)+IFERROR(I349,0)+IFERROR(J349,0)+IFERROR(K349,0)+IFERROR(L349,0),0))</f>
        <v/>
      </c>
    </row>
    <row r="350">
      <c r="A350" s="10" t="n"/>
      <c r="B350" s="10" t="n"/>
      <c r="C350" s="11" t="n"/>
      <c r="D350" s="11" t="n"/>
      <c r="E350" s="10" t="n"/>
      <c r="F350" s="10" t="n"/>
      <c r="G350" s="12" t="n"/>
      <c r="H350" s="13" t="n"/>
      <c r="I350" s="13" t="n"/>
      <c r="J350" s="13" t="n"/>
      <c r="K350" s="13" t="n"/>
      <c r="L350" s="13" t="n"/>
      <c r="M350" s="14">
        <f>IFERROR(IF(A350="","",IFERROR(VLOOKUP(A350,Raw_PriorMonth!A:E,5,FALSE),0)),0)</f>
        <v/>
      </c>
      <c r="N350" s="14">
        <f>IF(A350="","",IFERROR(E350,0)+IFERROR(M350,0))</f>
        <v/>
      </c>
      <c r="O350" s="15">
        <f>IF(A350="","",IF(N350&gt;=28,TRUE,FALSE))</f>
        <v/>
      </c>
      <c r="P350" s="15">
        <f>IF(A350="","",OR(G350=TRUE,O350=TRUE))</f>
        <v/>
      </c>
      <c r="Q350" s="16">
        <f>IF(A350="","",IFERROR(H350,0)+IFERROR(I350,0)+IFERROR(J350,0)+IFERROR(K350,0)+IFERROR(L350,0))</f>
        <v/>
      </c>
      <c r="R350" s="16">
        <f>IF(A350="","",IF(P350=TRUE,0,Q350))</f>
        <v/>
      </c>
      <c r="S350" s="16">
        <f>IF(A350="","",IF(P350=TRUE,0,IFERROR(H350,0)))</f>
        <v/>
      </c>
      <c r="T350" s="16">
        <f>IF(A350="","",IF(P350=TRUE,0,IFERROR(I350,0)))</f>
        <v/>
      </c>
      <c r="U350" s="16">
        <f>IF(A350="","",IF(P350=TRUE,0,IFERROR(J350,0)))</f>
        <v/>
      </c>
      <c r="V350" s="16">
        <f>IF(A350="","",IF(P350=TRUE,0,IFERROR(K350,0)))</f>
        <v/>
      </c>
      <c r="W350" s="16">
        <f>IF(A350="","",IF(P350=TRUE,0,IFERROR(L350,0)))</f>
        <v/>
      </c>
      <c r="X350" s="16">
        <f>IF(A350="","",IF(P350=TRUE,0,IFERROR(H350,0)+IFERROR(I350,0)+IFERROR(L350,0)))</f>
        <v/>
      </c>
      <c r="Y350" s="16">
        <f>IF(A350="",0,IF(G350=TRUE,IFERROR(H350,0)+IFERROR(I350,0)+IFERROR(J350,0)+IFERROR(K350,0)+IFERROR(L350,0),0))</f>
        <v/>
      </c>
      <c r="Z350" s="16">
        <f>IF(A350="",0,IF(AND(O350=TRUE,G350&lt;&gt;TRUE),IFERROR(H350,0)+IFERROR(I350,0)+IFERROR(J350,0)+IFERROR(K350,0)+IFERROR(L350,0),0))</f>
        <v/>
      </c>
    </row>
    <row r="351">
      <c r="A351" s="10" t="n"/>
      <c r="B351" s="10" t="n"/>
      <c r="C351" s="11" t="n"/>
      <c r="D351" s="11" t="n"/>
      <c r="E351" s="10" t="n"/>
      <c r="F351" s="10" t="n"/>
      <c r="G351" s="12" t="n"/>
      <c r="H351" s="13" t="n"/>
      <c r="I351" s="13" t="n"/>
      <c r="J351" s="13" t="n"/>
      <c r="K351" s="13" t="n"/>
      <c r="L351" s="13" t="n"/>
      <c r="M351" s="14">
        <f>IFERROR(IF(A351="","",IFERROR(VLOOKUP(A351,Raw_PriorMonth!A:E,5,FALSE),0)),0)</f>
        <v/>
      </c>
      <c r="N351" s="14">
        <f>IF(A351="","",IFERROR(E351,0)+IFERROR(M351,0))</f>
        <v/>
      </c>
      <c r="O351" s="15">
        <f>IF(A351="","",IF(N351&gt;=28,TRUE,FALSE))</f>
        <v/>
      </c>
      <c r="P351" s="15">
        <f>IF(A351="","",OR(G351=TRUE,O351=TRUE))</f>
        <v/>
      </c>
      <c r="Q351" s="16">
        <f>IF(A351="","",IFERROR(H351,0)+IFERROR(I351,0)+IFERROR(J351,0)+IFERROR(K351,0)+IFERROR(L351,0))</f>
        <v/>
      </c>
      <c r="R351" s="16">
        <f>IF(A351="","",IF(P351=TRUE,0,Q351))</f>
        <v/>
      </c>
      <c r="S351" s="16">
        <f>IF(A351="","",IF(P351=TRUE,0,IFERROR(H351,0)))</f>
        <v/>
      </c>
      <c r="T351" s="16">
        <f>IF(A351="","",IF(P351=TRUE,0,IFERROR(I351,0)))</f>
        <v/>
      </c>
      <c r="U351" s="16">
        <f>IF(A351="","",IF(P351=TRUE,0,IFERROR(J351,0)))</f>
        <v/>
      </c>
      <c r="V351" s="16">
        <f>IF(A351="","",IF(P351=TRUE,0,IFERROR(K351,0)))</f>
        <v/>
      </c>
      <c r="W351" s="16">
        <f>IF(A351="","",IF(P351=TRUE,0,IFERROR(L351,0)))</f>
        <v/>
      </c>
      <c r="X351" s="16">
        <f>IF(A351="","",IF(P351=TRUE,0,IFERROR(H351,0)+IFERROR(I351,0)+IFERROR(L351,0)))</f>
        <v/>
      </c>
      <c r="Y351" s="16">
        <f>IF(A351="",0,IF(G351=TRUE,IFERROR(H351,0)+IFERROR(I351,0)+IFERROR(J351,0)+IFERROR(K351,0)+IFERROR(L351,0),0))</f>
        <v/>
      </c>
      <c r="Z351" s="16">
        <f>IF(A351="",0,IF(AND(O351=TRUE,G351&lt;&gt;TRUE),IFERROR(H351,0)+IFERROR(I351,0)+IFERROR(J351,0)+IFERROR(K351,0)+IFERROR(L351,0),0))</f>
        <v/>
      </c>
    </row>
    <row r="352">
      <c r="A352" s="10" t="n"/>
      <c r="B352" s="10" t="n"/>
      <c r="C352" s="11" t="n"/>
      <c r="D352" s="11" t="n"/>
      <c r="E352" s="10" t="n"/>
      <c r="F352" s="10" t="n"/>
      <c r="G352" s="12" t="n"/>
      <c r="H352" s="13" t="n"/>
      <c r="I352" s="13" t="n"/>
      <c r="J352" s="13" t="n"/>
      <c r="K352" s="13" t="n"/>
      <c r="L352" s="13" t="n"/>
      <c r="M352" s="14">
        <f>IFERROR(IF(A352="","",IFERROR(VLOOKUP(A352,Raw_PriorMonth!A:E,5,FALSE),0)),0)</f>
        <v/>
      </c>
      <c r="N352" s="14">
        <f>IF(A352="","",IFERROR(E352,0)+IFERROR(M352,0))</f>
        <v/>
      </c>
      <c r="O352" s="15">
        <f>IF(A352="","",IF(N352&gt;=28,TRUE,FALSE))</f>
        <v/>
      </c>
      <c r="P352" s="15">
        <f>IF(A352="","",OR(G352=TRUE,O352=TRUE))</f>
        <v/>
      </c>
      <c r="Q352" s="16">
        <f>IF(A352="","",IFERROR(H352,0)+IFERROR(I352,0)+IFERROR(J352,0)+IFERROR(K352,0)+IFERROR(L352,0))</f>
        <v/>
      </c>
      <c r="R352" s="16">
        <f>IF(A352="","",IF(P352=TRUE,0,Q352))</f>
        <v/>
      </c>
      <c r="S352" s="16">
        <f>IF(A352="","",IF(P352=TRUE,0,IFERROR(H352,0)))</f>
        <v/>
      </c>
      <c r="T352" s="16">
        <f>IF(A352="","",IF(P352=TRUE,0,IFERROR(I352,0)))</f>
        <v/>
      </c>
      <c r="U352" s="16">
        <f>IF(A352="","",IF(P352=TRUE,0,IFERROR(J352,0)))</f>
        <v/>
      </c>
      <c r="V352" s="16">
        <f>IF(A352="","",IF(P352=TRUE,0,IFERROR(K352,0)))</f>
        <v/>
      </c>
      <c r="W352" s="16">
        <f>IF(A352="","",IF(P352=TRUE,0,IFERROR(L352,0)))</f>
        <v/>
      </c>
      <c r="X352" s="16">
        <f>IF(A352="","",IF(P352=TRUE,0,IFERROR(H352,0)+IFERROR(I352,0)+IFERROR(L352,0)))</f>
        <v/>
      </c>
      <c r="Y352" s="16">
        <f>IF(A352="",0,IF(G352=TRUE,IFERROR(H352,0)+IFERROR(I352,0)+IFERROR(J352,0)+IFERROR(K352,0)+IFERROR(L352,0),0))</f>
        <v/>
      </c>
      <c r="Z352" s="16">
        <f>IF(A352="",0,IF(AND(O352=TRUE,G352&lt;&gt;TRUE),IFERROR(H352,0)+IFERROR(I352,0)+IFERROR(J352,0)+IFERROR(K352,0)+IFERROR(L352,0),0))</f>
        <v/>
      </c>
    </row>
    <row r="353">
      <c r="A353" s="10" t="n"/>
      <c r="B353" s="10" t="n"/>
      <c r="C353" s="11" t="n"/>
      <c r="D353" s="11" t="n"/>
      <c r="E353" s="10" t="n"/>
      <c r="F353" s="10" t="n"/>
      <c r="G353" s="12" t="n"/>
      <c r="H353" s="13" t="n"/>
      <c r="I353" s="13" t="n"/>
      <c r="J353" s="13" t="n"/>
      <c r="K353" s="13" t="n"/>
      <c r="L353" s="13" t="n"/>
      <c r="M353" s="14">
        <f>IFERROR(IF(A353="","",IFERROR(VLOOKUP(A353,Raw_PriorMonth!A:E,5,FALSE),0)),0)</f>
        <v/>
      </c>
      <c r="N353" s="14">
        <f>IF(A353="","",IFERROR(E353,0)+IFERROR(M353,0))</f>
        <v/>
      </c>
      <c r="O353" s="15">
        <f>IF(A353="","",IF(N353&gt;=28,TRUE,FALSE))</f>
        <v/>
      </c>
      <c r="P353" s="15">
        <f>IF(A353="","",OR(G353=TRUE,O353=TRUE))</f>
        <v/>
      </c>
      <c r="Q353" s="16">
        <f>IF(A353="","",IFERROR(H353,0)+IFERROR(I353,0)+IFERROR(J353,0)+IFERROR(K353,0)+IFERROR(L353,0))</f>
        <v/>
      </c>
      <c r="R353" s="16">
        <f>IF(A353="","",IF(P353=TRUE,0,Q353))</f>
        <v/>
      </c>
      <c r="S353" s="16">
        <f>IF(A353="","",IF(P353=TRUE,0,IFERROR(H353,0)))</f>
        <v/>
      </c>
      <c r="T353" s="16">
        <f>IF(A353="","",IF(P353=TRUE,0,IFERROR(I353,0)))</f>
        <v/>
      </c>
      <c r="U353" s="16">
        <f>IF(A353="","",IF(P353=TRUE,0,IFERROR(J353,0)))</f>
        <v/>
      </c>
      <c r="V353" s="16">
        <f>IF(A353="","",IF(P353=TRUE,0,IFERROR(K353,0)))</f>
        <v/>
      </c>
      <c r="W353" s="16">
        <f>IF(A353="","",IF(P353=TRUE,0,IFERROR(L353,0)))</f>
        <v/>
      </c>
      <c r="X353" s="16">
        <f>IF(A353="","",IF(P353=TRUE,0,IFERROR(H353,0)+IFERROR(I353,0)+IFERROR(L353,0)))</f>
        <v/>
      </c>
      <c r="Y353" s="16">
        <f>IF(A353="",0,IF(G353=TRUE,IFERROR(H353,0)+IFERROR(I353,0)+IFERROR(J353,0)+IFERROR(K353,0)+IFERROR(L353,0),0))</f>
        <v/>
      </c>
      <c r="Z353" s="16">
        <f>IF(A353="",0,IF(AND(O353=TRUE,G353&lt;&gt;TRUE),IFERROR(H353,0)+IFERROR(I353,0)+IFERROR(J353,0)+IFERROR(K353,0)+IFERROR(L353,0),0))</f>
        <v/>
      </c>
    </row>
    <row r="354">
      <c r="A354" s="10" t="n"/>
      <c r="B354" s="10" t="n"/>
      <c r="C354" s="11" t="n"/>
      <c r="D354" s="11" t="n"/>
      <c r="E354" s="10" t="n"/>
      <c r="F354" s="10" t="n"/>
      <c r="G354" s="12" t="n"/>
      <c r="H354" s="13" t="n"/>
      <c r="I354" s="13" t="n"/>
      <c r="J354" s="13" t="n"/>
      <c r="K354" s="13" t="n"/>
      <c r="L354" s="13" t="n"/>
      <c r="M354" s="14">
        <f>IFERROR(IF(A354="","",IFERROR(VLOOKUP(A354,Raw_PriorMonth!A:E,5,FALSE),0)),0)</f>
        <v/>
      </c>
      <c r="N354" s="14">
        <f>IF(A354="","",IFERROR(E354,0)+IFERROR(M354,0))</f>
        <v/>
      </c>
      <c r="O354" s="15">
        <f>IF(A354="","",IF(N354&gt;=28,TRUE,FALSE))</f>
        <v/>
      </c>
      <c r="P354" s="15">
        <f>IF(A354="","",OR(G354=TRUE,O354=TRUE))</f>
        <v/>
      </c>
      <c r="Q354" s="16">
        <f>IF(A354="","",IFERROR(H354,0)+IFERROR(I354,0)+IFERROR(J354,0)+IFERROR(K354,0)+IFERROR(L354,0))</f>
        <v/>
      </c>
      <c r="R354" s="16">
        <f>IF(A354="","",IF(P354=TRUE,0,Q354))</f>
        <v/>
      </c>
      <c r="S354" s="16">
        <f>IF(A354="","",IF(P354=TRUE,0,IFERROR(H354,0)))</f>
        <v/>
      </c>
      <c r="T354" s="16">
        <f>IF(A354="","",IF(P354=TRUE,0,IFERROR(I354,0)))</f>
        <v/>
      </c>
      <c r="U354" s="16">
        <f>IF(A354="","",IF(P354=TRUE,0,IFERROR(J354,0)))</f>
        <v/>
      </c>
      <c r="V354" s="16">
        <f>IF(A354="","",IF(P354=TRUE,0,IFERROR(K354,0)))</f>
        <v/>
      </c>
      <c r="W354" s="16">
        <f>IF(A354="","",IF(P354=TRUE,0,IFERROR(L354,0)))</f>
        <v/>
      </c>
      <c r="X354" s="16">
        <f>IF(A354="","",IF(P354=TRUE,0,IFERROR(H354,0)+IFERROR(I354,0)+IFERROR(L354,0)))</f>
        <v/>
      </c>
      <c r="Y354" s="16">
        <f>IF(A354="",0,IF(G354=TRUE,IFERROR(H354,0)+IFERROR(I354,0)+IFERROR(J354,0)+IFERROR(K354,0)+IFERROR(L354,0),0))</f>
        <v/>
      </c>
      <c r="Z354" s="16">
        <f>IF(A354="",0,IF(AND(O354=TRUE,G354&lt;&gt;TRUE),IFERROR(H354,0)+IFERROR(I354,0)+IFERROR(J354,0)+IFERROR(K354,0)+IFERROR(L354,0),0))</f>
        <v/>
      </c>
    </row>
    <row r="355">
      <c r="A355" s="10" t="n"/>
      <c r="B355" s="10" t="n"/>
      <c r="C355" s="11" t="n"/>
      <c r="D355" s="11" t="n"/>
      <c r="E355" s="10" t="n"/>
      <c r="F355" s="10" t="n"/>
      <c r="G355" s="12" t="n"/>
      <c r="H355" s="13" t="n"/>
      <c r="I355" s="13" t="n"/>
      <c r="J355" s="13" t="n"/>
      <c r="K355" s="13" t="n"/>
      <c r="L355" s="13" t="n"/>
      <c r="M355" s="14">
        <f>IFERROR(IF(A355="","",IFERROR(VLOOKUP(A355,Raw_PriorMonth!A:E,5,FALSE),0)),0)</f>
        <v/>
      </c>
      <c r="N355" s="14">
        <f>IF(A355="","",IFERROR(E355,0)+IFERROR(M355,0))</f>
        <v/>
      </c>
      <c r="O355" s="15">
        <f>IF(A355="","",IF(N355&gt;=28,TRUE,FALSE))</f>
        <v/>
      </c>
      <c r="P355" s="15">
        <f>IF(A355="","",OR(G355=TRUE,O355=TRUE))</f>
        <v/>
      </c>
      <c r="Q355" s="16">
        <f>IF(A355="","",IFERROR(H355,0)+IFERROR(I355,0)+IFERROR(J355,0)+IFERROR(K355,0)+IFERROR(L355,0))</f>
        <v/>
      </c>
      <c r="R355" s="16">
        <f>IF(A355="","",IF(P355=TRUE,0,Q355))</f>
        <v/>
      </c>
      <c r="S355" s="16">
        <f>IF(A355="","",IF(P355=TRUE,0,IFERROR(H355,0)))</f>
        <v/>
      </c>
      <c r="T355" s="16">
        <f>IF(A355="","",IF(P355=TRUE,0,IFERROR(I355,0)))</f>
        <v/>
      </c>
      <c r="U355" s="16">
        <f>IF(A355="","",IF(P355=TRUE,0,IFERROR(J355,0)))</f>
        <v/>
      </c>
      <c r="V355" s="16">
        <f>IF(A355="","",IF(P355=TRUE,0,IFERROR(K355,0)))</f>
        <v/>
      </c>
      <c r="W355" s="16">
        <f>IF(A355="","",IF(P355=TRUE,0,IFERROR(L355,0)))</f>
        <v/>
      </c>
      <c r="X355" s="16">
        <f>IF(A355="","",IF(P355=TRUE,0,IFERROR(H355,0)+IFERROR(I355,0)+IFERROR(L355,0)))</f>
        <v/>
      </c>
      <c r="Y355" s="16">
        <f>IF(A355="",0,IF(G355=TRUE,IFERROR(H355,0)+IFERROR(I355,0)+IFERROR(J355,0)+IFERROR(K355,0)+IFERROR(L355,0),0))</f>
        <v/>
      </c>
      <c r="Z355" s="16">
        <f>IF(A355="",0,IF(AND(O355=TRUE,G355&lt;&gt;TRUE),IFERROR(H355,0)+IFERROR(I355,0)+IFERROR(J355,0)+IFERROR(K355,0)+IFERROR(L355,0),0))</f>
        <v/>
      </c>
    </row>
    <row r="356">
      <c r="A356" s="10" t="n"/>
      <c r="B356" s="10" t="n"/>
      <c r="C356" s="11" t="n"/>
      <c r="D356" s="11" t="n"/>
      <c r="E356" s="10" t="n"/>
      <c r="F356" s="10" t="n"/>
      <c r="G356" s="12" t="n"/>
      <c r="H356" s="13" t="n"/>
      <c r="I356" s="13" t="n"/>
      <c r="J356" s="13" t="n"/>
      <c r="K356" s="13" t="n"/>
      <c r="L356" s="13" t="n"/>
      <c r="M356" s="14">
        <f>IFERROR(IF(A356="","",IFERROR(VLOOKUP(A356,Raw_PriorMonth!A:E,5,FALSE),0)),0)</f>
        <v/>
      </c>
      <c r="N356" s="14">
        <f>IF(A356="","",IFERROR(E356,0)+IFERROR(M356,0))</f>
        <v/>
      </c>
      <c r="O356" s="15">
        <f>IF(A356="","",IF(N356&gt;=28,TRUE,FALSE))</f>
        <v/>
      </c>
      <c r="P356" s="15">
        <f>IF(A356="","",OR(G356=TRUE,O356=TRUE))</f>
        <v/>
      </c>
      <c r="Q356" s="16">
        <f>IF(A356="","",IFERROR(H356,0)+IFERROR(I356,0)+IFERROR(J356,0)+IFERROR(K356,0)+IFERROR(L356,0))</f>
        <v/>
      </c>
      <c r="R356" s="16">
        <f>IF(A356="","",IF(P356=TRUE,0,Q356))</f>
        <v/>
      </c>
      <c r="S356" s="16">
        <f>IF(A356="","",IF(P356=TRUE,0,IFERROR(H356,0)))</f>
        <v/>
      </c>
      <c r="T356" s="16">
        <f>IF(A356="","",IF(P356=TRUE,0,IFERROR(I356,0)))</f>
        <v/>
      </c>
      <c r="U356" s="16">
        <f>IF(A356="","",IF(P356=TRUE,0,IFERROR(J356,0)))</f>
        <v/>
      </c>
      <c r="V356" s="16">
        <f>IF(A356="","",IF(P356=TRUE,0,IFERROR(K356,0)))</f>
        <v/>
      </c>
      <c r="W356" s="16">
        <f>IF(A356="","",IF(P356=TRUE,0,IFERROR(L356,0)))</f>
        <v/>
      </c>
      <c r="X356" s="16">
        <f>IF(A356="","",IF(P356=TRUE,0,IFERROR(H356,0)+IFERROR(I356,0)+IFERROR(L356,0)))</f>
        <v/>
      </c>
      <c r="Y356" s="16">
        <f>IF(A356="",0,IF(G356=TRUE,IFERROR(H356,0)+IFERROR(I356,0)+IFERROR(J356,0)+IFERROR(K356,0)+IFERROR(L356,0),0))</f>
        <v/>
      </c>
      <c r="Z356" s="16">
        <f>IF(A356="",0,IF(AND(O356=TRUE,G356&lt;&gt;TRUE),IFERROR(H356,0)+IFERROR(I356,0)+IFERROR(J356,0)+IFERROR(K356,0)+IFERROR(L356,0),0))</f>
        <v/>
      </c>
    </row>
    <row r="357">
      <c r="A357" s="10" t="n"/>
      <c r="B357" s="10" t="n"/>
      <c r="C357" s="11" t="n"/>
      <c r="D357" s="11" t="n"/>
      <c r="E357" s="10" t="n"/>
      <c r="F357" s="10" t="n"/>
      <c r="G357" s="12" t="n"/>
      <c r="H357" s="13" t="n"/>
      <c r="I357" s="13" t="n"/>
      <c r="J357" s="13" t="n"/>
      <c r="K357" s="13" t="n"/>
      <c r="L357" s="13" t="n"/>
      <c r="M357" s="14">
        <f>IFERROR(IF(A357="","",IFERROR(VLOOKUP(A357,Raw_PriorMonth!A:E,5,FALSE),0)),0)</f>
        <v/>
      </c>
      <c r="N357" s="14">
        <f>IF(A357="","",IFERROR(E357,0)+IFERROR(M357,0))</f>
        <v/>
      </c>
      <c r="O357" s="15">
        <f>IF(A357="","",IF(N357&gt;=28,TRUE,FALSE))</f>
        <v/>
      </c>
      <c r="P357" s="15">
        <f>IF(A357="","",OR(G357=TRUE,O357=TRUE))</f>
        <v/>
      </c>
      <c r="Q357" s="16">
        <f>IF(A357="","",IFERROR(H357,0)+IFERROR(I357,0)+IFERROR(J357,0)+IFERROR(K357,0)+IFERROR(L357,0))</f>
        <v/>
      </c>
      <c r="R357" s="16">
        <f>IF(A357="","",IF(P357=TRUE,0,Q357))</f>
        <v/>
      </c>
      <c r="S357" s="16">
        <f>IF(A357="","",IF(P357=TRUE,0,IFERROR(H357,0)))</f>
        <v/>
      </c>
      <c r="T357" s="16">
        <f>IF(A357="","",IF(P357=TRUE,0,IFERROR(I357,0)))</f>
        <v/>
      </c>
      <c r="U357" s="16">
        <f>IF(A357="","",IF(P357=TRUE,0,IFERROR(J357,0)))</f>
        <v/>
      </c>
      <c r="V357" s="16">
        <f>IF(A357="","",IF(P357=TRUE,0,IFERROR(K357,0)))</f>
        <v/>
      </c>
      <c r="W357" s="16">
        <f>IF(A357="","",IF(P357=TRUE,0,IFERROR(L357,0)))</f>
        <v/>
      </c>
      <c r="X357" s="16">
        <f>IF(A357="","",IF(P357=TRUE,0,IFERROR(H357,0)+IFERROR(I357,0)+IFERROR(L357,0)))</f>
        <v/>
      </c>
      <c r="Y357" s="16">
        <f>IF(A357="",0,IF(G357=TRUE,IFERROR(H357,0)+IFERROR(I357,0)+IFERROR(J357,0)+IFERROR(K357,0)+IFERROR(L357,0),0))</f>
        <v/>
      </c>
      <c r="Z357" s="16">
        <f>IF(A357="",0,IF(AND(O357=TRUE,G357&lt;&gt;TRUE),IFERROR(H357,0)+IFERROR(I357,0)+IFERROR(J357,0)+IFERROR(K357,0)+IFERROR(L357,0),0))</f>
        <v/>
      </c>
    </row>
    <row r="358">
      <c r="A358" s="10" t="n"/>
      <c r="B358" s="10" t="n"/>
      <c r="C358" s="11" t="n"/>
      <c r="D358" s="11" t="n"/>
      <c r="E358" s="10" t="n"/>
      <c r="F358" s="10" t="n"/>
      <c r="G358" s="12" t="n"/>
      <c r="H358" s="13" t="n"/>
      <c r="I358" s="13" t="n"/>
      <c r="J358" s="13" t="n"/>
      <c r="K358" s="13" t="n"/>
      <c r="L358" s="13" t="n"/>
      <c r="M358" s="14">
        <f>IFERROR(IF(A358="","",IFERROR(VLOOKUP(A358,Raw_PriorMonth!A:E,5,FALSE),0)),0)</f>
        <v/>
      </c>
      <c r="N358" s="14">
        <f>IF(A358="","",IFERROR(E358,0)+IFERROR(M358,0))</f>
        <v/>
      </c>
      <c r="O358" s="15">
        <f>IF(A358="","",IF(N358&gt;=28,TRUE,FALSE))</f>
        <v/>
      </c>
      <c r="P358" s="15">
        <f>IF(A358="","",OR(G358=TRUE,O358=TRUE))</f>
        <v/>
      </c>
      <c r="Q358" s="16">
        <f>IF(A358="","",IFERROR(H358,0)+IFERROR(I358,0)+IFERROR(J358,0)+IFERROR(K358,0)+IFERROR(L358,0))</f>
        <v/>
      </c>
      <c r="R358" s="16">
        <f>IF(A358="","",IF(P358=TRUE,0,Q358))</f>
        <v/>
      </c>
      <c r="S358" s="16">
        <f>IF(A358="","",IF(P358=TRUE,0,IFERROR(H358,0)))</f>
        <v/>
      </c>
      <c r="T358" s="16">
        <f>IF(A358="","",IF(P358=TRUE,0,IFERROR(I358,0)))</f>
        <v/>
      </c>
      <c r="U358" s="16">
        <f>IF(A358="","",IF(P358=TRUE,0,IFERROR(J358,0)))</f>
        <v/>
      </c>
      <c r="V358" s="16">
        <f>IF(A358="","",IF(P358=TRUE,0,IFERROR(K358,0)))</f>
        <v/>
      </c>
      <c r="W358" s="16">
        <f>IF(A358="","",IF(P358=TRUE,0,IFERROR(L358,0)))</f>
        <v/>
      </c>
      <c r="X358" s="16">
        <f>IF(A358="","",IF(P358=TRUE,0,IFERROR(H358,0)+IFERROR(I358,0)+IFERROR(L358,0)))</f>
        <v/>
      </c>
      <c r="Y358" s="16">
        <f>IF(A358="",0,IF(G358=TRUE,IFERROR(H358,0)+IFERROR(I358,0)+IFERROR(J358,0)+IFERROR(K358,0)+IFERROR(L358,0),0))</f>
        <v/>
      </c>
      <c r="Z358" s="16">
        <f>IF(A358="",0,IF(AND(O358=TRUE,G358&lt;&gt;TRUE),IFERROR(H358,0)+IFERROR(I358,0)+IFERROR(J358,0)+IFERROR(K358,0)+IFERROR(L358,0),0))</f>
        <v/>
      </c>
    </row>
    <row r="359">
      <c r="A359" s="10" t="n"/>
      <c r="B359" s="10" t="n"/>
      <c r="C359" s="11" t="n"/>
      <c r="D359" s="11" t="n"/>
      <c r="E359" s="10" t="n"/>
      <c r="F359" s="10" t="n"/>
      <c r="G359" s="12" t="n"/>
      <c r="H359" s="13" t="n"/>
      <c r="I359" s="13" t="n"/>
      <c r="J359" s="13" t="n"/>
      <c r="K359" s="13" t="n"/>
      <c r="L359" s="13" t="n"/>
      <c r="M359" s="14">
        <f>IFERROR(IF(A359="","",IFERROR(VLOOKUP(A359,Raw_PriorMonth!A:E,5,FALSE),0)),0)</f>
        <v/>
      </c>
      <c r="N359" s="14">
        <f>IF(A359="","",IFERROR(E359,0)+IFERROR(M359,0))</f>
        <v/>
      </c>
      <c r="O359" s="15">
        <f>IF(A359="","",IF(N359&gt;=28,TRUE,FALSE))</f>
        <v/>
      </c>
      <c r="P359" s="15">
        <f>IF(A359="","",OR(G359=TRUE,O359=TRUE))</f>
        <v/>
      </c>
      <c r="Q359" s="16">
        <f>IF(A359="","",IFERROR(H359,0)+IFERROR(I359,0)+IFERROR(J359,0)+IFERROR(K359,0)+IFERROR(L359,0))</f>
        <v/>
      </c>
      <c r="R359" s="16">
        <f>IF(A359="","",IF(P359=TRUE,0,Q359))</f>
        <v/>
      </c>
      <c r="S359" s="16">
        <f>IF(A359="","",IF(P359=TRUE,0,IFERROR(H359,0)))</f>
        <v/>
      </c>
      <c r="T359" s="16">
        <f>IF(A359="","",IF(P359=TRUE,0,IFERROR(I359,0)))</f>
        <v/>
      </c>
      <c r="U359" s="16">
        <f>IF(A359="","",IF(P359=TRUE,0,IFERROR(J359,0)))</f>
        <v/>
      </c>
      <c r="V359" s="16">
        <f>IF(A359="","",IF(P359=TRUE,0,IFERROR(K359,0)))</f>
        <v/>
      </c>
      <c r="W359" s="16">
        <f>IF(A359="","",IF(P359=TRUE,0,IFERROR(L359,0)))</f>
        <v/>
      </c>
      <c r="X359" s="16">
        <f>IF(A359="","",IF(P359=TRUE,0,IFERROR(H359,0)+IFERROR(I359,0)+IFERROR(L359,0)))</f>
        <v/>
      </c>
      <c r="Y359" s="16">
        <f>IF(A359="",0,IF(G359=TRUE,IFERROR(H359,0)+IFERROR(I359,0)+IFERROR(J359,0)+IFERROR(K359,0)+IFERROR(L359,0),0))</f>
        <v/>
      </c>
      <c r="Z359" s="16">
        <f>IF(A359="",0,IF(AND(O359=TRUE,G359&lt;&gt;TRUE),IFERROR(H359,0)+IFERROR(I359,0)+IFERROR(J359,0)+IFERROR(K359,0)+IFERROR(L359,0),0))</f>
        <v/>
      </c>
    </row>
    <row r="360">
      <c r="A360" s="10" t="n"/>
      <c r="B360" s="10" t="n"/>
      <c r="C360" s="11" t="n"/>
      <c r="D360" s="11" t="n"/>
      <c r="E360" s="10" t="n"/>
      <c r="F360" s="10" t="n"/>
      <c r="G360" s="12" t="n"/>
      <c r="H360" s="13" t="n"/>
      <c r="I360" s="13" t="n"/>
      <c r="J360" s="13" t="n"/>
      <c r="K360" s="13" t="n"/>
      <c r="L360" s="13" t="n"/>
      <c r="M360" s="14">
        <f>IFERROR(IF(A360="","",IFERROR(VLOOKUP(A360,Raw_PriorMonth!A:E,5,FALSE),0)),0)</f>
        <v/>
      </c>
      <c r="N360" s="14">
        <f>IF(A360="","",IFERROR(E360,0)+IFERROR(M360,0))</f>
        <v/>
      </c>
      <c r="O360" s="15">
        <f>IF(A360="","",IF(N360&gt;=28,TRUE,FALSE))</f>
        <v/>
      </c>
      <c r="P360" s="15">
        <f>IF(A360="","",OR(G360=TRUE,O360=TRUE))</f>
        <v/>
      </c>
      <c r="Q360" s="16">
        <f>IF(A360="","",IFERROR(H360,0)+IFERROR(I360,0)+IFERROR(J360,0)+IFERROR(K360,0)+IFERROR(L360,0))</f>
        <v/>
      </c>
      <c r="R360" s="16">
        <f>IF(A360="","",IF(P360=TRUE,0,Q360))</f>
        <v/>
      </c>
      <c r="S360" s="16">
        <f>IF(A360="","",IF(P360=TRUE,0,IFERROR(H360,0)))</f>
        <v/>
      </c>
      <c r="T360" s="16">
        <f>IF(A360="","",IF(P360=TRUE,0,IFERROR(I360,0)))</f>
        <v/>
      </c>
      <c r="U360" s="16">
        <f>IF(A360="","",IF(P360=TRUE,0,IFERROR(J360,0)))</f>
        <v/>
      </c>
      <c r="V360" s="16">
        <f>IF(A360="","",IF(P360=TRUE,0,IFERROR(K360,0)))</f>
        <v/>
      </c>
      <c r="W360" s="16">
        <f>IF(A360="","",IF(P360=TRUE,0,IFERROR(L360,0)))</f>
        <v/>
      </c>
      <c r="X360" s="16">
        <f>IF(A360="","",IF(P360=TRUE,0,IFERROR(H360,0)+IFERROR(I360,0)+IFERROR(L360,0)))</f>
        <v/>
      </c>
      <c r="Y360" s="16">
        <f>IF(A360="",0,IF(G360=TRUE,IFERROR(H360,0)+IFERROR(I360,0)+IFERROR(J360,0)+IFERROR(K360,0)+IFERROR(L360,0),0))</f>
        <v/>
      </c>
      <c r="Z360" s="16">
        <f>IF(A360="",0,IF(AND(O360=TRUE,G360&lt;&gt;TRUE),IFERROR(H360,0)+IFERROR(I360,0)+IFERROR(J360,0)+IFERROR(K360,0)+IFERROR(L360,0),0))</f>
        <v/>
      </c>
    </row>
    <row r="361">
      <c r="A361" s="10" t="n"/>
      <c r="B361" s="10" t="n"/>
      <c r="C361" s="11" t="n"/>
      <c r="D361" s="11" t="n"/>
      <c r="E361" s="10" t="n"/>
      <c r="F361" s="10" t="n"/>
      <c r="G361" s="12" t="n"/>
      <c r="H361" s="13" t="n"/>
      <c r="I361" s="13" t="n"/>
      <c r="J361" s="13" t="n"/>
      <c r="K361" s="13" t="n"/>
      <c r="L361" s="13" t="n"/>
      <c r="M361" s="14">
        <f>IFERROR(IF(A361="","",IFERROR(VLOOKUP(A361,Raw_PriorMonth!A:E,5,FALSE),0)),0)</f>
        <v/>
      </c>
      <c r="N361" s="14">
        <f>IF(A361="","",IFERROR(E361,0)+IFERROR(M361,0))</f>
        <v/>
      </c>
      <c r="O361" s="15">
        <f>IF(A361="","",IF(N361&gt;=28,TRUE,FALSE))</f>
        <v/>
      </c>
      <c r="P361" s="15">
        <f>IF(A361="","",OR(G361=TRUE,O361=TRUE))</f>
        <v/>
      </c>
      <c r="Q361" s="16">
        <f>IF(A361="","",IFERROR(H361,0)+IFERROR(I361,0)+IFERROR(J361,0)+IFERROR(K361,0)+IFERROR(L361,0))</f>
        <v/>
      </c>
      <c r="R361" s="16">
        <f>IF(A361="","",IF(P361=TRUE,0,Q361))</f>
        <v/>
      </c>
      <c r="S361" s="16">
        <f>IF(A361="","",IF(P361=TRUE,0,IFERROR(H361,0)))</f>
        <v/>
      </c>
      <c r="T361" s="16">
        <f>IF(A361="","",IF(P361=TRUE,0,IFERROR(I361,0)))</f>
        <v/>
      </c>
      <c r="U361" s="16">
        <f>IF(A361="","",IF(P361=TRUE,0,IFERROR(J361,0)))</f>
        <v/>
      </c>
      <c r="V361" s="16">
        <f>IF(A361="","",IF(P361=TRUE,0,IFERROR(K361,0)))</f>
        <v/>
      </c>
      <c r="W361" s="16">
        <f>IF(A361="","",IF(P361=TRUE,0,IFERROR(L361,0)))</f>
        <v/>
      </c>
      <c r="X361" s="16">
        <f>IF(A361="","",IF(P361=TRUE,0,IFERROR(H361,0)+IFERROR(I361,0)+IFERROR(L361,0)))</f>
        <v/>
      </c>
      <c r="Y361" s="16">
        <f>IF(A361="",0,IF(G361=TRUE,IFERROR(H361,0)+IFERROR(I361,0)+IFERROR(J361,0)+IFERROR(K361,0)+IFERROR(L361,0),0))</f>
        <v/>
      </c>
      <c r="Z361" s="16">
        <f>IF(A361="",0,IF(AND(O361=TRUE,G361&lt;&gt;TRUE),IFERROR(H361,0)+IFERROR(I361,0)+IFERROR(J361,0)+IFERROR(K361,0)+IFERROR(L361,0),0))</f>
        <v/>
      </c>
    </row>
    <row r="362">
      <c r="A362" s="10" t="n"/>
      <c r="B362" s="10" t="n"/>
      <c r="C362" s="11" t="n"/>
      <c r="D362" s="11" t="n"/>
      <c r="E362" s="10" t="n"/>
      <c r="F362" s="10" t="n"/>
      <c r="G362" s="12" t="n"/>
      <c r="H362" s="13" t="n"/>
      <c r="I362" s="13" t="n"/>
      <c r="J362" s="13" t="n"/>
      <c r="K362" s="13" t="n"/>
      <c r="L362" s="13" t="n"/>
      <c r="M362" s="14">
        <f>IFERROR(IF(A362="","",IFERROR(VLOOKUP(A362,Raw_PriorMonth!A:E,5,FALSE),0)),0)</f>
        <v/>
      </c>
      <c r="N362" s="14">
        <f>IF(A362="","",IFERROR(E362,0)+IFERROR(M362,0))</f>
        <v/>
      </c>
      <c r="O362" s="15">
        <f>IF(A362="","",IF(N362&gt;=28,TRUE,FALSE))</f>
        <v/>
      </c>
      <c r="P362" s="15">
        <f>IF(A362="","",OR(G362=TRUE,O362=TRUE))</f>
        <v/>
      </c>
      <c r="Q362" s="16">
        <f>IF(A362="","",IFERROR(H362,0)+IFERROR(I362,0)+IFERROR(J362,0)+IFERROR(K362,0)+IFERROR(L362,0))</f>
        <v/>
      </c>
      <c r="R362" s="16">
        <f>IF(A362="","",IF(P362=TRUE,0,Q362))</f>
        <v/>
      </c>
      <c r="S362" s="16">
        <f>IF(A362="","",IF(P362=TRUE,0,IFERROR(H362,0)))</f>
        <v/>
      </c>
      <c r="T362" s="16">
        <f>IF(A362="","",IF(P362=TRUE,0,IFERROR(I362,0)))</f>
        <v/>
      </c>
      <c r="U362" s="16">
        <f>IF(A362="","",IF(P362=TRUE,0,IFERROR(J362,0)))</f>
        <v/>
      </c>
      <c r="V362" s="16">
        <f>IF(A362="","",IF(P362=TRUE,0,IFERROR(K362,0)))</f>
        <v/>
      </c>
      <c r="W362" s="16">
        <f>IF(A362="","",IF(P362=TRUE,0,IFERROR(L362,0)))</f>
        <v/>
      </c>
      <c r="X362" s="16">
        <f>IF(A362="","",IF(P362=TRUE,0,IFERROR(H362,0)+IFERROR(I362,0)+IFERROR(L362,0)))</f>
        <v/>
      </c>
      <c r="Y362" s="16">
        <f>IF(A362="",0,IF(G362=TRUE,IFERROR(H362,0)+IFERROR(I362,0)+IFERROR(J362,0)+IFERROR(K362,0)+IFERROR(L362,0),0))</f>
        <v/>
      </c>
      <c r="Z362" s="16">
        <f>IF(A362="",0,IF(AND(O362=TRUE,G362&lt;&gt;TRUE),IFERROR(H362,0)+IFERROR(I362,0)+IFERROR(J362,0)+IFERROR(K362,0)+IFERROR(L362,0),0))</f>
        <v/>
      </c>
    </row>
    <row r="363">
      <c r="A363" s="10" t="n"/>
      <c r="B363" s="10" t="n"/>
      <c r="C363" s="11" t="n"/>
      <c r="D363" s="11" t="n"/>
      <c r="E363" s="10" t="n"/>
      <c r="F363" s="10" t="n"/>
      <c r="G363" s="12" t="n"/>
      <c r="H363" s="13" t="n"/>
      <c r="I363" s="13" t="n"/>
      <c r="J363" s="13" t="n"/>
      <c r="K363" s="13" t="n"/>
      <c r="L363" s="13" t="n"/>
      <c r="M363" s="14">
        <f>IFERROR(IF(A363="","",IFERROR(VLOOKUP(A363,Raw_PriorMonth!A:E,5,FALSE),0)),0)</f>
        <v/>
      </c>
      <c r="N363" s="14">
        <f>IF(A363="","",IFERROR(E363,0)+IFERROR(M363,0))</f>
        <v/>
      </c>
      <c r="O363" s="15">
        <f>IF(A363="","",IF(N363&gt;=28,TRUE,FALSE))</f>
        <v/>
      </c>
      <c r="P363" s="15">
        <f>IF(A363="","",OR(G363=TRUE,O363=TRUE))</f>
        <v/>
      </c>
      <c r="Q363" s="16">
        <f>IF(A363="","",IFERROR(H363,0)+IFERROR(I363,0)+IFERROR(J363,0)+IFERROR(K363,0)+IFERROR(L363,0))</f>
        <v/>
      </c>
      <c r="R363" s="16">
        <f>IF(A363="","",IF(P363=TRUE,0,Q363))</f>
        <v/>
      </c>
      <c r="S363" s="16">
        <f>IF(A363="","",IF(P363=TRUE,0,IFERROR(H363,0)))</f>
        <v/>
      </c>
      <c r="T363" s="16">
        <f>IF(A363="","",IF(P363=TRUE,0,IFERROR(I363,0)))</f>
        <v/>
      </c>
      <c r="U363" s="16">
        <f>IF(A363="","",IF(P363=TRUE,0,IFERROR(J363,0)))</f>
        <v/>
      </c>
      <c r="V363" s="16">
        <f>IF(A363="","",IF(P363=TRUE,0,IFERROR(K363,0)))</f>
        <v/>
      </c>
      <c r="W363" s="16">
        <f>IF(A363="","",IF(P363=TRUE,0,IFERROR(L363,0)))</f>
        <v/>
      </c>
      <c r="X363" s="16">
        <f>IF(A363="","",IF(P363=TRUE,0,IFERROR(H363,0)+IFERROR(I363,0)+IFERROR(L363,0)))</f>
        <v/>
      </c>
      <c r="Y363" s="16">
        <f>IF(A363="",0,IF(G363=TRUE,IFERROR(H363,0)+IFERROR(I363,0)+IFERROR(J363,0)+IFERROR(K363,0)+IFERROR(L363,0),0))</f>
        <v/>
      </c>
      <c r="Z363" s="16">
        <f>IF(A363="",0,IF(AND(O363=TRUE,G363&lt;&gt;TRUE),IFERROR(H363,0)+IFERROR(I363,0)+IFERROR(J363,0)+IFERROR(K363,0)+IFERROR(L363,0),0))</f>
        <v/>
      </c>
    </row>
    <row r="364">
      <c r="A364" s="10" t="n"/>
      <c r="B364" s="10" t="n"/>
      <c r="C364" s="11" t="n"/>
      <c r="D364" s="11" t="n"/>
      <c r="E364" s="10" t="n"/>
      <c r="F364" s="10" t="n"/>
      <c r="G364" s="12" t="n"/>
      <c r="H364" s="13" t="n"/>
      <c r="I364" s="13" t="n"/>
      <c r="J364" s="13" t="n"/>
      <c r="K364" s="13" t="n"/>
      <c r="L364" s="13" t="n"/>
      <c r="M364" s="14">
        <f>IFERROR(IF(A364="","",IFERROR(VLOOKUP(A364,Raw_PriorMonth!A:E,5,FALSE),0)),0)</f>
        <v/>
      </c>
      <c r="N364" s="14">
        <f>IF(A364="","",IFERROR(E364,0)+IFERROR(M364,0))</f>
        <v/>
      </c>
      <c r="O364" s="15">
        <f>IF(A364="","",IF(N364&gt;=28,TRUE,FALSE))</f>
        <v/>
      </c>
      <c r="P364" s="15">
        <f>IF(A364="","",OR(G364=TRUE,O364=TRUE))</f>
        <v/>
      </c>
      <c r="Q364" s="16">
        <f>IF(A364="","",IFERROR(H364,0)+IFERROR(I364,0)+IFERROR(J364,0)+IFERROR(K364,0)+IFERROR(L364,0))</f>
        <v/>
      </c>
      <c r="R364" s="16">
        <f>IF(A364="","",IF(P364=TRUE,0,Q364))</f>
        <v/>
      </c>
      <c r="S364" s="16">
        <f>IF(A364="","",IF(P364=TRUE,0,IFERROR(H364,0)))</f>
        <v/>
      </c>
      <c r="T364" s="16">
        <f>IF(A364="","",IF(P364=TRUE,0,IFERROR(I364,0)))</f>
        <v/>
      </c>
      <c r="U364" s="16">
        <f>IF(A364="","",IF(P364=TRUE,0,IFERROR(J364,0)))</f>
        <v/>
      </c>
      <c r="V364" s="16">
        <f>IF(A364="","",IF(P364=TRUE,0,IFERROR(K364,0)))</f>
        <v/>
      </c>
      <c r="W364" s="16">
        <f>IF(A364="","",IF(P364=TRUE,0,IFERROR(L364,0)))</f>
        <v/>
      </c>
      <c r="X364" s="16">
        <f>IF(A364="","",IF(P364=TRUE,0,IFERROR(H364,0)+IFERROR(I364,0)+IFERROR(L364,0)))</f>
        <v/>
      </c>
      <c r="Y364" s="16">
        <f>IF(A364="",0,IF(G364=TRUE,IFERROR(H364,0)+IFERROR(I364,0)+IFERROR(J364,0)+IFERROR(K364,0)+IFERROR(L364,0),0))</f>
        <v/>
      </c>
      <c r="Z364" s="16">
        <f>IF(A364="",0,IF(AND(O364=TRUE,G364&lt;&gt;TRUE),IFERROR(H364,0)+IFERROR(I364,0)+IFERROR(J364,0)+IFERROR(K364,0)+IFERROR(L364,0),0))</f>
        <v/>
      </c>
    </row>
    <row r="365">
      <c r="A365" s="10" t="n"/>
      <c r="B365" s="10" t="n"/>
      <c r="C365" s="11" t="n"/>
      <c r="D365" s="11" t="n"/>
      <c r="E365" s="10" t="n"/>
      <c r="F365" s="10" t="n"/>
      <c r="G365" s="12" t="n"/>
      <c r="H365" s="13" t="n"/>
      <c r="I365" s="13" t="n"/>
      <c r="J365" s="13" t="n"/>
      <c r="K365" s="13" t="n"/>
      <c r="L365" s="13" t="n"/>
      <c r="M365" s="14">
        <f>IFERROR(IF(A365="","",IFERROR(VLOOKUP(A365,Raw_PriorMonth!A:E,5,FALSE),0)),0)</f>
        <v/>
      </c>
      <c r="N365" s="14">
        <f>IF(A365="","",IFERROR(E365,0)+IFERROR(M365,0))</f>
        <v/>
      </c>
      <c r="O365" s="15">
        <f>IF(A365="","",IF(N365&gt;=28,TRUE,FALSE))</f>
        <v/>
      </c>
      <c r="P365" s="15">
        <f>IF(A365="","",OR(G365=TRUE,O365=TRUE))</f>
        <v/>
      </c>
      <c r="Q365" s="16">
        <f>IF(A365="","",IFERROR(H365,0)+IFERROR(I365,0)+IFERROR(J365,0)+IFERROR(K365,0)+IFERROR(L365,0))</f>
        <v/>
      </c>
      <c r="R365" s="16">
        <f>IF(A365="","",IF(P365=TRUE,0,Q365))</f>
        <v/>
      </c>
      <c r="S365" s="16">
        <f>IF(A365="","",IF(P365=TRUE,0,IFERROR(H365,0)))</f>
        <v/>
      </c>
      <c r="T365" s="16">
        <f>IF(A365="","",IF(P365=TRUE,0,IFERROR(I365,0)))</f>
        <v/>
      </c>
      <c r="U365" s="16">
        <f>IF(A365="","",IF(P365=TRUE,0,IFERROR(J365,0)))</f>
        <v/>
      </c>
      <c r="V365" s="16">
        <f>IF(A365="","",IF(P365=TRUE,0,IFERROR(K365,0)))</f>
        <v/>
      </c>
      <c r="W365" s="16">
        <f>IF(A365="","",IF(P365=TRUE,0,IFERROR(L365,0)))</f>
        <v/>
      </c>
      <c r="X365" s="16">
        <f>IF(A365="","",IF(P365=TRUE,0,IFERROR(H365,0)+IFERROR(I365,0)+IFERROR(L365,0)))</f>
        <v/>
      </c>
      <c r="Y365" s="16">
        <f>IF(A365="",0,IF(G365=TRUE,IFERROR(H365,0)+IFERROR(I365,0)+IFERROR(J365,0)+IFERROR(K365,0)+IFERROR(L365,0),0))</f>
        <v/>
      </c>
      <c r="Z365" s="16">
        <f>IF(A365="",0,IF(AND(O365=TRUE,G365&lt;&gt;TRUE),IFERROR(H365,0)+IFERROR(I365,0)+IFERROR(J365,0)+IFERROR(K365,0)+IFERROR(L365,0),0))</f>
        <v/>
      </c>
    </row>
    <row r="366">
      <c r="A366" s="10" t="n"/>
      <c r="B366" s="10" t="n"/>
      <c r="C366" s="11" t="n"/>
      <c r="D366" s="11" t="n"/>
      <c r="E366" s="10" t="n"/>
      <c r="F366" s="10" t="n"/>
      <c r="G366" s="12" t="n"/>
      <c r="H366" s="13" t="n"/>
      <c r="I366" s="13" t="n"/>
      <c r="J366" s="13" t="n"/>
      <c r="K366" s="13" t="n"/>
      <c r="L366" s="13" t="n"/>
      <c r="M366" s="14">
        <f>IFERROR(IF(A366="","",IFERROR(VLOOKUP(A366,Raw_PriorMonth!A:E,5,FALSE),0)),0)</f>
        <v/>
      </c>
      <c r="N366" s="14">
        <f>IF(A366="","",IFERROR(E366,0)+IFERROR(M366,0))</f>
        <v/>
      </c>
      <c r="O366" s="15">
        <f>IF(A366="","",IF(N366&gt;=28,TRUE,FALSE))</f>
        <v/>
      </c>
      <c r="P366" s="15">
        <f>IF(A366="","",OR(G366=TRUE,O366=TRUE))</f>
        <v/>
      </c>
      <c r="Q366" s="16">
        <f>IF(A366="","",IFERROR(H366,0)+IFERROR(I366,0)+IFERROR(J366,0)+IFERROR(K366,0)+IFERROR(L366,0))</f>
        <v/>
      </c>
      <c r="R366" s="16">
        <f>IF(A366="","",IF(P366=TRUE,0,Q366))</f>
        <v/>
      </c>
      <c r="S366" s="16">
        <f>IF(A366="","",IF(P366=TRUE,0,IFERROR(H366,0)))</f>
        <v/>
      </c>
      <c r="T366" s="16">
        <f>IF(A366="","",IF(P366=TRUE,0,IFERROR(I366,0)))</f>
        <v/>
      </c>
      <c r="U366" s="16">
        <f>IF(A366="","",IF(P366=TRUE,0,IFERROR(J366,0)))</f>
        <v/>
      </c>
      <c r="V366" s="16">
        <f>IF(A366="","",IF(P366=TRUE,0,IFERROR(K366,0)))</f>
        <v/>
      </c>
      <c r="W366" s="16">
        <f>IF(A366="","",IF(P366=TRUE,0,IFERROR(L366,0)))</f>
        <v/>
      </c>
      <c r="X366" s="16">
        <f>IF(A366="","",IF(P366=TRUE,0,IFERROR(H366,0)+IFERROR(I366,0)+IFERROR(L366,0)))</f>
        <v/>
      </c>
      <c r="Y366" s="16">
        <f>IF(A366="",0,IF(G366=TRUE,IFERROR(H366,0)+IFERROR(I366,0)+IFERROR(J366,0)+IFERROR(K366,0)+IFERROR(L366,0),0))</f>
        <v/>
      </c>
      <c r="Z366" s="16">
        <f>IF(A366="",0,IF(AND(O366=TRUE,G366&lt;&gt;TRUE),IFERROR(H366,0)+IFERROR(I366,0)+IFERROR(J366,0)+IFERROR(K366,0)+IFERROR(L366,0),0))</f>
        <v/>
      </c>
    </row>
    <row r="367">
      <c r="A367" s="10" t="n"/>
      <c r="B367" s="10" t="n"/>
      <c r="C367" s="11" t="n"/>
      <c r="D367" s="11" t="n"/>
      <c r="E367" s="10" t="n"/>
      <c r="F367" s="10" t="n"/>
      <c r="G367" s="12" t="n"/>
      <c r="H367" s="13" t="n"/>
      <c r="I367" s="13" t="n"/>
      <c r="J367" s="13" t="n"/>
      <c r="K367" s="13" t="n"/>
      <c r="L367" s="13" t="n"/>
      <c r="M367" s="14">
        <f>IFERROR(IF(A367="","",IFERROR(VLOOKUP(A367,Raw_PriorMonth!A:E,5,FALSE),0)),0)</f>
        <v/>
      </c>
      <c r="N367" s="14">
        <f>IF(A367="","",IFERROR(E367,0)+IFERROR(M367,0))</f>
        <v/>
      </c>
      <c r="O367" s="15">
        <f>IF(A367="","",IF(N367&gt;=28,TRUE,FALSE))</f>
        <v/>
      </c>
      <c r="P367" s="15">
        <f>IF(A367="","",OR(G367=TRUE,O367=TRUE))</f>
        <v/>
      </c>
      <c r="Q367" s="16">
        <f>IF(A367="","",IFERROR(H367,0)+IFERROR(I367,0)+IFERROR(J367,0)+IFERROR(K367,0)+IFERROR(L367,0))</f>
        <v/>
      </c>
      <c r="R367" s="16">
        <f>IF(A367="","",IF(P367=TRUE,0,Q367))</f>
        <v/>
      </c>
      <c r="S367" s="16">
        <f>IF(A367="","",IF(P367=TRUE,0,IFERROR(H367,0)))</f>
        <v/>
      </c>
      <c r="T367" s="16">
        <f>IF(A367="","",IF(P367=TRUE,0,IFERROR(I367,0)))</f>
        <v/>
      </c>
      <c r="U367" s="16">
        <f>IF(A367="","",IF(P367=TRUE,0,IFERROR(J367,0)))</f>
        <v/>
      </c>
      <c r="V367" s="16">
        <f>IF(A367="","",IF(P367=TRUE,0,IFERROR(K367,0)))</f>
        <v/>
      </c>
      <c r="W367" s="16">
        <f>IF(A367="","",IF(P367=TRUE,0,IFERROR(L367,0)))</f>
        <v/>
      </c>
      <c r="X367" s="16">
        <f>IF(A367="","",IF(P367=TRUE,0,IFERROR(H367,0)+IFERROR(I367,0)+IFERROR(L367,0)))</f>
        <v/>
      </c>
      <c r="Y367" s="16">
        <f>IF(A367="",0,IF(G367=TRUE,IFERROR(H367,0)+IFERROR(I367,0)+IFERROR(J367,0)+IFERROR(K367,0)+IFERROR(L367,0),0))</f>
        <v/>
      </c>
      <c r="Z367" s="16">
        <f>IF(A367="",0,IF(AND(O367=TRUE,G367&lt;&gt;TRUE),IFERROR(H367,0)+IFERROR(I367,0)+IFERROR(J367,0)+IFERROR(K367,0)+IFERROR(L367,0),0))</f>
        <v/>
      </c>
    </row>
    <row r="368">
      <c r="A368" s="10" t="n"/>
      <c r="B368" s="10" t="n"/>
      <c r="C368" s="11" t="n"/>
      <c r="D368" s="11" t="n"/>
      <c r="E368" s="10" t="n"/>
      <c r="F368" s="10" t="n"/>
      <c r="G368" s="12" t="n"/>
      <c r="H368" s="13" t="n"/>
      <c r="I368" s="13" t="n"/>
      <c r="J368" s="13" t="n"/>
      <c r="K368" s="13" t="n"/>
      <c r="L368" s="13" t="n"/>
      <c r="M368" s="14">
        <f>IFERROR(IF(A368="","",IFERROR(VLOOKUP(A368,Raw_PriorMonth!A:E,5,FALSE),0)),0)</f>
        <v/>
      </c>
      <c r="N368" s="14">
        <f>IF(A368="","",IFERROR(E368,0)+IFERROR(M368,0))</f>
        <v/>
      </c>
      <c r="O368" s="15">
        <f>IF(A368="","",IF(N368&gt;=28,TRUE,FALSE))</f>
        <v/>
      </c>
      <c r="P368" s="15">
        <f>IF(A368="","",OR(G368=TRUE,O368=TRUE))</f>
        <v/>
      </c>
      <c r="Q368" s="16">
        <f>IF(A368="","",IFERROR(H368,0)+IFERROR(I368,0)+IFERROR(J368,0)+IFERROR(K368,0)+IFERROR(L368,0))</f>
        <v/>
      </c>
      <c r="R368" s="16">
        <f>IF(A368="","",IF(P368=TRUE,0,Q368))</f>
        <v/>
      </c>
      <c r="S368" s="16">
        <f>IF(A368="","",IF(P368=TRUE,0,IFERROR(H368,0)))</f>
        <v/>
      </c>
      <c r="T368" s="16">
        <f>IF(A368="","",IF(P368=TRUE,0,IFERROR(I368,0)))</f>
        <v/>
      </c>
      <c r="U368" s="16">
        <f>IF(A368="","",IF(P368=TRUE,0,IFERROR(J368,0)))</f>
        <v/>
      </c>
      <c r="V368" s="16">
        <f>IF(A368="","",IF(P368=TRUE,0,IFERROR(K368,0)))</f>
        <v/>
      </c>
      <c r="W368" s="16">
        <f>IF(A368="","",IF(P368=TRUE,0,IFERROR(L368,0)))</f>
        <v/>
      </c>
      <c r="X368" s="16">
        <f>IF(A368="","",IF(P368=TRUE,0,IFERROR(H368,0)+IFERROR(I368,0)+IFERROR(L368,0)))</f>
        <v/>
      </c>
      <c r="Y368" s="16">
        <f>IF(A368="",0,IF(G368=TRUE,IFERROR(H368,0)+IFERROR(I368,0)+IFERROR(J368,0)+IFERROR(K368,0)+IFERROR(L368,0),0))</f>
        <v/>
      </c>
      <c r="Z368" s="16">
        <f>IF(A368="",0,IF(AND(O368=TRUE,G368&lt;&gt;TRUE),IFERROR(H368,0)+IFERROR(I368,0)+IFERROR(J368,0)+IFERROR(K368,0)+IFERROR(L368,0),0))</f>
        <v/>
      </c>
    </row>
    <row r="369">
      <c r="A369" s="10" t="n"/>
      <c r="B369" s="10" t="n"/>
      <c r="C369" s="11" t="n"/>
      <c r="D369" s="11" t="n"/>
      <c r="E369" s="10" t="n"/>
      <c r="F369" s="10" t="n"/>
      <c r="G369" s="12" t="n"/>
      <c r="H369" s="13" t="n"/>
      <c r="I369" s="13" t="n"/>
      <c r="J369" s="13" t="n"/>
      <c r="K369" s="13" t="n"/>
      <c r="L369" s="13" t="n"/>
      <c r="M369" s="14">
        <f>IFERROR(IF(A369="","",IFERROR(VLOOKUP(A369,Raw_PriorMonth!A:E,5,FALSE),0)),0)</f>
        <v/>
      </c>
      <c r="N369" s="14">
        <f>IF(A369="","",IFERROR(E369,0)+IFERROR(M369,0))</f>
        <v/>
      </c>
      <c r="O369" s="15">
        <f>IF(A369="","",IF(N369&gt;=28,TRUE,FALSE))</f>
        <v/>
      </c>
      <c r="P369" s="15">
        <f>IF(A369="","",OR(G369=TRUE,O369=TRUE))</f>
        <v/>
      </c>
      <c r="Q369" s="16">
        <f>IF(A369="","",IFERROR(H369,0)+IFERROR(I369,0)+IFERROR(J369,0)+IFERROR(K369,0)+IFERROR(L369,0))</f>
        <v/>
      </c>
      <c r="R369" s="16">
        <f>IF(A369="","",IF(P369=TRUE,0,Q369))</f>
        <v/>
      </c>
      <c r="S369" s="16">
        <f>IF(A369="","",IF(P369=TRUE,0,IFERROR(H369,0)))</f>
        <v/>
      </c>
      <c r="T369" s="16">
        <f>IF(A369="","",IF(P369=TRUE,0,IFERROR(I369,0)))</f>
        <v/>
      </c>
      <c r="U369" s="16">
        <f>IF(A369="","",IF(P369=TRUE,0,IFERROR(J369,0)))</f>
        <v/>
      </c>
      <c r="V369" s="16">
        <f>IF(A369="","",IF(P369=TRUE,0,IFERROR(K369,0)))</f>
        <v/>
      </c>
      <c r="W369" s="16">
        <f>IF(A369="","",IF(P369=TRUE,0,IFERROR(L369,0)))</f>
        <v/>
      </c>
      <c r="X369" s="16">
        <f>IF(A369="","",IF(P369=TRUE,0,IFERROR(H369,0)+IFERROR(I369,0)+IFERROR(L369,0)))</f>
        <v/>
      </c>
      <c r="Y369" s="16">
        <f>IF(A369="",0,IF(G369=TRUE,IFERROR(H369,0)+IFERROR(I369,0)+IFERROR(J369,0)+IFERROR(K369,0)+IFERROR(L369,0),0))</f>
        <v/>
      </c>
      <c r="Z369" s="16">
        <f>IF(A369="",0,IF(AND(O369=TRUE,G369&lt;&gt;TRUE),IFERROR(H369,0)+IFERROR(I369,0)+IFERROR(J369,0)+IFERROR(K369,0)+IFERROR(L369,0),0))</f>
        <v/>
      </c>
    </row>
    <row r="370">
      <c r="A370" s="10" t="n"/>
      <c r="B370" s="10" t="n"/>
      <c r="C370" s="11" t="n"/>
      <c r="D370" s="11" t="n"/>
      <c r="E370" s="10" t="n"/>
      <c r="F370" s="10" t="n"/>
      <c r="G370" s="12" t="n"/>
      <c r="H370" s="13" t="n"/>
      <c r="I370" s="13" t="n"/>
      <c r="J370" s="13" t="n"/>
      <c r="K370" s="13" t="n"/>
      <c r="L370" s="13" t="n"/>
      <c r="M370" s="14">
        <f>IFERROR(IF(A370="","",IFERROR(VLOOKUP(A370,Raw_PriorMonth!A:E,5,FALSE),0)),0)</f>
        <v/>
      </c>
      <c r="N370" s="14">
        <f>IF(A370="","",IFERROR(E370,0)+IFERROR(M370,0))</f>
        <v/>
      </c>
      <c r="O370" s="15">
        <f>IF(A370="","",IF(N370&gt;=28,TRUE,FALSE))</f>
        <v/>
      </c>
      <c r="P370" s="15">
        <f>IF(A370="","",OR(G370=TRUE,O370=TRUE))</f>
        <v/>
      </c>
      <c r="Q370" s="16">
        <f>IF(A370="","",IFERROR(H370,0)+IFERROR(I370,0)+IFERROR(J370,0)+IFERROR(K370,0)+IFERROR(L370,0))</f>
        <v/>
      </c>
      <c r="R370" s="16">
        <f>IF(A370="","",IF(P370=TRUE,0,Q370))</f>
        <v/>
      </c>
      <c r="S370" s="16">
        <f>IF(A370="","",IF(P370=TRUE,0,IFERROR(H370,0)))</f>
        <v/>
      </c>
      <c r="T370" s="16">
        <f>IF(A370="","",IF(P370=TRUE,0,IFERROR(I370,0)))</f>
        <v/>
      </c>
      <c r="U370" s="16">
        <f>IF(A370="","",IF(P370=TRUE,0,IFERROR(J370,0)))</f>
        <v/>
      </c>
      <c r="V370" s="16">
        <f>IF(A370="","",IF(P370=TRUE,0,IFERROR(K370,0)))</f>
        <v/>
      </c>
      <c r="W370" s="16">
        <f>IF(A370="","",IF(P370=TRUE,0,IFERROR(L370,0)))</f>
        <v/>
      </c>
      <c r="X370" s="16">
        <f>IF(A370="","",IF(P370=TRUE,0,IFERROR(H370,0)+IFERROR(I370,0)+IFERROR(L370,0)))</f>
        <v/>
      </c>
      <c r="Y370" s="16">
        <f>IF(A370="",0,IF(G370=TRUE,IFERROR(H370,0)+IFERROR(I370,0)+IFERROR(J370,0)+IFERROR(K370,0)+IFERROR(L370,0),0))</f>
        <v/>
      </c>
      <c r="Z370" s="16">
        <f>IF(A370="",0,IF(AND(O370=TRUE,G370&lt;&gt;TRUE),IFERROR(H370,0)+IFERROR(I370,0)+IFERROR(J370,0)+IFERROR(K370,0)+IFERROR(L370,0),0))</f>
        <v/>
      </c>
    </row>
    <row r="371">
      <c r="A371" s="10" t="n"/>
      <c r="B371" s="10" t="n"/>
      <c r="C371" s="11" t="n"/>
      <c r="D371" s="11" t="n"/>
      <c r="E371" s="10" t="n"/>
      <c r="F371" s="10" t="n"/>
      <c r="G371" s="12" t="n"/>
      <c r="H371" s="13" t="n"/>
      <c r="I371" s="13" t="n"/>
      <c r="J371" s="13" t="n"/>
      <c r="K371" s="13" t="n"/>
      <c r="L371" s="13" t="n"/>
      <c r="M371" s="14">
        <f>IFERROR(IF(A371="","",IFERROR(VLOOKUP(A371,Raw_PriorMonth!A:E,5,FALSE),0)),0)</f>
        <v/>
      </c>
      <c r="N371" s="14">
        <f>IF(A371="","",IFERROR(E371,0)+IFERROR(M371,0))</f>
        <v/>
      </c>
      <c r="O371" s="15">
        <f>IF(A371="","",IF(N371&gt;=28,TRUE,FALSE))</f>
        <v/>
      </c>
      <c r="P371" s="15">
        <f>IF(A371="","",OR(G371=TRUE,O371=TRUE))</f>
        <v/>
      </c>
      <c r="Q371" s="16">
        <f>IF(A371="","",IFERROR(H371,0)+IFERROR(I371,0)+IFERROR(J371,0)+IFERROR(K371,0)+IFERROR(L371,0))</f>
        <v/>
      </c>
      <c r="R371" s="16">
        <f>IF(A371="","",IF(P371=TRUE,0,Q371))</f>
        <v/>
      </c>
      <c r="S371" s="16">
        <f>IF(A371="","",IF(P371=TRUE,0,IFERROR(H371,0)))</f>
        <v/>
      </c>
      <c r="T371" s="16">
        <f>IF(A371="","",IF(P371=TRUE,0,IFERROR(I371,0)))</f>
        <v/>
      </c>
      <c r="U371" s="16">
        <f>IF(A371="","",IF(P371=TRUE,0,IFERROR(J371,0)))</f>
        <v/>
      </c>
      <c r="V371" s="16">
        <f>IF(A371="","",IF(P371=TRUE,0,IFERROR(K371,0)))</f>
        <v/>
      </c>
      <c r="W371" s="16">
        <f>IF(A371="","",IF(P371=TRUE,0,IFERROR(L371,0)))</f>
        <v/>
      </c>
      <c r="X371" s="16">
        <f>IF(A371="","",IF(P371=TRUE,0,IFERROR(H371,0)+IFERROR(I371,0)+IFERROR(L371,0)))</f>
        <v/>
      </c>
      <c r="Y371" s="16">
        <f>IF(A371="",0,IF(G371=TRUE,IFERROR(H371,0)+IFERROR(I371,0)+IFERROR(J371,0)+IFERROR(K371,0)+IFERROR(L371,0),0))</f>
        <v/>
      </c>
      <c r="Z371" s="16">
        <f>IF(A371="",0,IF(AND(O371=TRUE,G371&lt;&gt;TRUE),IFERROR(H371,0)+IFERROR(I371,0)+IFERROR(J371,0)+IFERROR(K371,0)+IFERROR(L371,0),0))</f>
        <v/>
      </c>
    </row>
    <row r="372">
      <c r="A372" s="10" t="n"/>
      <c r="B372" s="10" t="n"/>
      <c r="C372" s="11" t="n"/>
      <c r="D372" s="11" t="n"/>
      <c r="E372" s="10" t="n"/>
      <c r="F372" s="10" t="n"/>
      <c r="G372" s="12" t="n"/>
      <c r="H372" s="13" t="n"/>
      <c r="I372" s="13" t="n"/>
      <c r="J372" s="13" t="n"/>
      <c r="K372" s="13" t="n"/>
      <c r="L372" s="13" t="n"/>
      <c r="M372" s="14">
        <f>IFERROR(IF(A372="","",IFERROR(VLOOKUP(A372,Raw_PriorMonth!A:E,5,FALSE),0)),0)</f>
        <v/>
      </c>
      <c r="N372" s="14">
        <f>IF(A372="","",IFERROR(E372,0)+IFERROR(M372,0))</f>
        <v/>
      </c>
      <c r="O372" s="15">
        <f>IF(A372="","",IF(N372&gt;=28,TRUE,FALSE))</f>
        <v/>
      </c>
      <c r="P372" s="15">
        <f>IF(A372="","",OR(G372=TRUE,O372=TRUE))</f>
        <v/>
      </c>
      <c r="Q372" s="16">
        <f>IF(A372="","",IFERROR(H372,0)+IFERROR(I372,0)+IFERROR(J372,0)+IFERROR(K372,0)+IFERROR(L372,0))</f>
        <v/>
      </c>
      <c r="R372" s="16">
        <f>IF(A372="","",IF(P372=TRUE,0,Q372))</f>
        <v/>
      </c>
      <c r="S372" s="16">
        <f>IF(A372="","",IF(P372=TRUE,0,IFERROR(H372,0)))</f>
        <v/>
      </c>
      <c r="T372" s="16">
        <f>IF(A372="","",IF(P372=TRUE,0,IFERROR(I372,0)))</f>
        <v/>
      </c>
      <c r="U372" s="16">
        <f>IF(A372="","",IF(P372=TRUE,0,IFERROR(J372,0)))</f>
        <v/>
      </c>
      <c r="V372" s="16">
        <f>IF(A372="","",IF(P372=TRUE,0,IFERROR(K372,0)))</f>
        <v/>
      </c>
      <c r="W372" s="16">
        <f>IF(A372="","",IF(P372=TRUE,0,IFERROR(L372,0)))</f>
        <v/>
      </c>
      <c r="X372" s="16">
        <f>IF(A372="","",IF(P372=TRUE,0,IFERROR(H372,0)+IFERROR(I372,0)+IFERROR(L372,0)))</f>
        <v/>
      </c>
      <c r="Y372" s="16">
        <f>IF(A372="",0,IF(G372=TRUE,IFERROR(H372,0)+IFERROR(I372,0)+IFERROR(J372,0)+IFERROR(K372,0)+IFERROR(L372,0),0))</f>
        <v/>
      </c>
      <c r="Z372" s="16">
        <f>IF(A372="",0,IF(AND(O372=TRUE,G372&lt;&gt;TRUE),IFERROR(H372,0)+IFERROR(I372,0)+IFERROR(J372,0)+IFERROR(K372,0)+IFERROR(L372,0),0))</f>
        <v/>
      </c>
    </row>
    <row r="373">
      <c r="A373" s="10" t="n"/>
      <c r="B373" s="10" t="n"/>
      <c r="C373" s="11" t="n"/>
      <c r="D373" s="11" t="n"/>
      <c r="E373" s="10" t="n"/>
      <c r="F373" s="10" t="n"/>
      <c r="G373" s="12" t="n"/>
      <c r="H373" s="13" t="n"/>
      <c r="I373" s="13" t="n"/>
      <c r="J373" s="13" t="n"/>
      <c r="K373" s="13" t="n"/>
      <c r="L373" s="13" t="n"/>
      <c r="M373" s="14">
        <f>IFERROR(IF(A373="","",IFERROR(VLOOKUP(A373,Raw_PriorMonth!A:E,5,FALSE),0)),0)</f>
        <v/>
      </c>
      <c r="N373" s="14">
        <f>IF(A373="","",IFERROR(E373,0)+IFERROR(M373,0))</f>
        <v/>
      </c>
      <c r="O373" s="15">
        <f>IF(A373="","",IF(N373&gt;=28,TRUE,FALSE))</f>
        <v/>
      </c>
      <c r="P373" s="15">
        <f>IF(A373="","",OR(G373=TRUE,O373=TRUE))</f>
        <v/>
      </c>
      <c r="Q373" s="16">
        <f>IF(A373="","",IFERROR(H373,0)+IFERROR(I373,0)+IFERROR(J373,0)+IFERROR(K373,0)+IFERROR(L373,0))</f>
        <v/>
      </c>
      <c r="R373" s="16">
        <f>IF(A373="","",IF(P373=TRUE,0,Q373))</f>
        <v/>
      </c>
      <c r="S373" s="16">
        <f>IF(A373="","",IF(P373=TRUE,0,IFERROR(H373,0)))</f>
        <v/>
      </c>
      <c r="T373" s="16">
        <f>IF(A373="","",IF(P373=TRUE,0,IFERROR(I373,0)))</f>
        <v/>
      </c>
      <c r="U373" s="16">
        <f>IF(A373="","",IF(P373=TRUE,0,IFERROR(J373,0)))</f>
        <v/>
      </c>
      <c r="V373" s="16">
        <f>IF(A373="","",IF(P373=TRUE,0,IFERROR(K373,0)))</f>
        <v/>
      </c>
      <c r="W373" s="16">
        <f>IF(A373="","",IF(P373=TRUE,0,IFERROR(L373,0)))</f>
        <v/>
      </c>
      <c r="X373" s="16">
        <f>IF(A373="","",IF(P373=TRUE,0,IFERROR(H373,0)+IFERROR(I373,0)+IFERROR(L373,0)))</f>
        <v/>
      </c>
      <c r="Y373" s="16">
        <f>IF(A373="",0,IF(G373=TRUE,IFERROR(H373,0)+IFERROR(I373,0)+IFERROR(J373,0)+IFERROR(K373,0)+IFERROR(L373,0),0))</f>
        <v/>
      </c>
      <c r="Z373" s="16">
        <f>IF(A373="",0,IF(AND(O373=TRUE,G373&lt;&gt;TRUE),IFERROR(H373,0)+IFERROR(I373,0)+IFERROR(J373,0)+IFERROR(K373,0)+IFERROR(L373,0),0))</f>
        <v/>
      </c>
    </row>
    <row r="374">
      <c r="A374" s="10" t="n"/>
      <c r="B374" s="10" t="n"/>
      <c r="C374" s="11" t="n"/>
      <c r="D374" s="11" t="n"/>
      <c r="E374" s="10" t="n"/>
      <c r="F374" s="10" t="n"/>
      <c r="G374" s="12" t="n"/>
      <c r="H374" s="13" t="n"/>
      <c r="I374" s="13" t="n"/>
      <c r="J374" s="13" t="n"/>
      <c r="K374" s="13" t="n"/>
      <c r="L374" s="13" t="n"/>
      <c r="M374" s="14">
        <f>IFERROR(IF(A374="","",IFERROR(VLOOKUP(A374,Raw_PriorMonth!A:E,5,FALSE),0)),0)</f>
        <v/>
      </c>
      <c r="N374" s="14">
        <f>IF(A374="","",IFERROR(E374,0)+IFERROR(M374,0))</f>
        <v/>
      </c>
      <c r="O374" s="15">
        <f>IF(A374="","",IF(N374&gt;=28,TRUE,FALSE))</f>
        <v/>
      </c>
      <c r="P374" s="15">
        <f>IF(A374="","",OR(G374=TRUE,O374=TRUE))</f>
        <v/>
      </c>
      <c r="Q374" s="16">
        <f>IF(A374="","",IFERROR(H374,0)+IFERROR(I374,0)+IFERROR(J374,0)+IFERROR(K374,0)+IFERROR(L374,0))</f>
        <v/>
      </c>
      <c r="R374" s="16">
        <f>IF(A374="","",IF(P374=TRUE,0,Q374))</f>
        <v/>
      </c>
      <c r="S374" s="16">
        <f>IF(A374="","",IF(P374=TRUE,0,IFERROR(H374,0)))</f>
        <v/>
      </c>
      <c r="T374" s="16">
        <f>IF(A374="","",IF(P374=TRUE,0,IFERROR(I374,0)))</f>
        <v/>
      </c>
      <c r="U374" s="16">
        <f>IF(A374="","",IF(P374=TRUE,0,IFERROR(J374,0)))</f>
        <v/>
      </c>
      <c r="V374" s="16">
        <f>IF(A374="","",IF(P374=TRUE,0,IFERROR(K374,0)))</f>
        <v/>
      </c>
      <c r="W374" s="16">
        <f>IF(A374="","",IF(P374=TRUE,0,IFERROR(L374,0)))</f>
        <v/>
      </c>
      <c r="X374" s="16">
        <f>IF(A374="","",IF(P374=TRUE,0,IFERROR(H374,0)+IFERROR(I374,0)+IFERROR(L374,0)))</f>
        <v/>
      </c>
      <c r="Y374" s="16">
        <f>IF(A374="",0,IF(G374=TRUE,IFERROR(H374,0)+IFERROR(I374,0)+IFERROR(J374,0)+IFERROR(K374,0)+IFERROR(L374,0),0))</f>
        <v/>
      </c>
      <c r="Z374" s="16">
        <f>IF(A374="",0,IF(AND(O374=TRUE,G374&lt;&gt;TRUE),IFERROR(H374,0)+IFERROR(I374,0)+IFERROR(J374,0)+IFERROR(K374,0)+IFERROR(L374,0),0))</f>
        <v/>
      </c>
    </row>
    <row r="375">
      <c r="A375" s="10" t="n"/>
      <c r="B375" s="10" t="n"/>
      <c r="C375" s="11" t="n"/>
      <c r="D375" s="11" t="n"/>
      <c r="E375" s="10" t="n"/>
      <c r="F375" s="10" t="n"/>
      <c r="G375" s="12" t="n"/>
      <c r="H375" s="13" t="n"/>
      <c r="I375" s="13" t="n"/>
      <c r="J375" s="13" t="n"/>
      <c r="K375" s="13" t="n"/>
      <c r="L375" s="13" t="n"/>
      <c r="M375" s="14">
        <f>IFERROR(IF(A375="","",IFERROR(VLOOKUP(A375,Raw_PriorMonth!A:E,5,FALSE),0)),0)</f>
        <v/>
      </c>
      <c r="N375" s="14">
        <f>IF(A375="","",IFERROR(E375,0)+IFERROR(M375,0))</f>
        <v/>
      </c>
      <c r="O375" s="15">
        <f>IF(A375="","",IF(N375&gt;=28,TRUE,FALSE))</f>
        <v/>
      </c>
      <c r="P375" s="15">
        <f>IF(A375="","",OR(G375=TRUE,O375=TRUE))</f>
        <v/>
      </c>
      <c r="Q375" s="16">
        <f>IF(A375="","",IFERROR(H375,0)+IFERROR(I375,0)+IFERROR(J375,0)+IFERROR(K375,0)+IFERROR(L375,0))</f>
        <v/>
      </c>
      <c r="R375" s="16">
        <f>IF(A375="","",IF(P375=TRUE,0,Q375))</f>
        <v/>
      </c>
      <c r="S375" s="16">
        <f>IF(A375="","",IF(P375=TRUE,0,IFERROR(H375,0)))</f>
        <v/>
      </c>
      <c r="T375" s="16">
        <f>IF(A375="","",IF(P375=TRUE,0,IFERROR(I375,0)))</f>
        <v/>
      </c>
      <c r="U375" s="16">
        <f>IF(A375="","",IF(P375=TRUE,0,IFERROR(J375,0)))</f>
        <v/>
      </c>
      <c r="V375" s="16">
        <f>IF(A375="","",IF(P375=TRUE,0,IFERROR(K375,0)))</f>
        <v/>
      </c>
      <c r="W375" s="16">
        <f>IF(A375="","",IF(P375=TRUE,0,IFERROR(L375,0)))</f>
        <v/>
      </c>
      <c r="X375" s="16">
        <f>IF(A375="","",IF(P375=TRUE,0,IFERROR(H375,0)+IFERROR(I375,0)+IFERROR(L375,0)))</f>
        <v/>
      </c>
      <c r="Y375" s="16">
        <f>IF(A375="",0,IF(G375=TRUE,IFERROR(H375,0)+IFERROR(I375,0)+IFERROR(J375,0)+IFERROR(K375,0)+IFERROR(L375,0),0))</f>
        <v/>
      </c>
      <c r="Z375" s="16">
        <f>IF(A375="",0,IF(AND(O375=TRUE,G375&lt;&gt;TRUE),IFERROR(H375,0)+IFERROR(I375,0)+IFERROR(J375,0)+IFERROR(K375,0)+IFERROR(L375,0),0))</f>
        <v/>
      </c>
    </row>
    <row r="376">
      <c r="A376" s="10" t="n"/>
      <c r="B376" s="10" t="n"/>
      <c r="C376" s="11" t="n"/>
      <c r="D376" s="11" t="n"/>
      <c r="E376" s="10" t="n"/>
      <c r="F376" s="10" t="n"/>
      <c r="G376" s="12" t="n"/>
      <c r="H376" s="13" t="n"/>
      <c r="I376" s="13" t="n"/>
      <c r="J376" s="13" t="n"/>
      <c r="K376" s="13" t="n"/>
      <c r="L376" s="13" t="n"/>
      <c r="M376" s="14">
        <f>IFERROR(IF(A376="","",IFERROR(VLOOKUP(A376,Raw_PriorMonth!A:E,5,FALSE),0)),0)</f>
        <v/>
      </c>
      <c r="N376" s="14">
        <f>IF(A376="","",IFERROR(E376,0)+IFERROR(M376,0))</f>
        <v/>
      </c>
      <c r="O376" s="15">
        <f>IF(A376="","",IF(N376&gt;=28,TRUE,FALSE))</f>
        <v/>
      </c>
      <c r="P376" s="15">
        <f>IF(A376="","",OR(G376=TRUE,O376=TRUE))</f>
        <v/>
      </c>
      <c r="Q376" s="16">
        <f>IF(A376="","",IFERROR(H376,0)+IFERROR(I376,0)+IFERROR(J376,0)+IFERROR(K376,0)+IFERROR(L376,0))</f>
        <v/>
      </c>
      <c r="R376" s="16">
        <f>IF(A376="","",IF(P376=TRUE,0,Q376))</f>
        <v/>
      </c>
      <c r="S376" s="16">
        <f>IF(A376="","",IF(P376=TRUE,0,IFERROR(H376,0)))</f>
        <v/>
      </c>
      <c r="T376" s="16">
        <f>IF(A376="","",IF(P376=TRUE,0,IFERROR(I376,0)))</f>
        <v/>
      </c>
      <c r="U376" s="16">
        <f>IF(A376="","",IF(P376=TRUE,0,IFERROR(J376,0)))</f>
        <v/>
      </c>
      <c r="V376" s="16">
        <f>IF(A376="","",IF(P376=TRUE,0,IFERROR(K376,0)))</f>
        <v/>
      </c>
      <c r="W376" s="16">
        <f>IF(A376="","",IF(P376=TRUE,0,IFERROR(L376,0)))</f>
        <v/>
      </c>
      <c r="X376" s="16">
        <f>IF(A376="","",IF(P376=TRUE,0,IFERROR(H376,0)+IFERROR(I376,0)+IFERROR(L376,0)))</f>
        <v/>
      </c>
      <c r="Y376" s="16">
        <f>IF(A376="",0,IF(G376=TRUE,IFERROR(H376,0)+IFERROR(I376,0)+IFERROR(J376,0)+IFERROR(K376,0)+IFERROR(L376,0),0))</f>
        <v/>
      </c>
      <c r="Z376" s="16">
        <f>IF(A376="",0,IF(AND(O376=TRUE,G376&lt;&gt;TRUE),IFERROR(H376,0)+IFERROR(I376,0)+IFERROR(J376,0)+IFERROR(K376,0)+IFERROR(L376,0),0))</f>
        <v/>
      </c>
    </row>
    <row r="377">
      <c r="A377" s="10" t="n"/>
      <c r="B377" s="10" t="n"/>
      <c r="C377" s="11" t="n"/>
      <c r="D377" s="11" t="n"/>
      <c r="E377" s="10" t="n"/>
      <c r="F377" s="10" t="n"/>
      <c r="G377" s="12" t="n"/>
      <c r="H377" s="13" t="n"/>
      <c r="I377" s="13" t="n"/>
      <c r="J377" s="13" t="n"/>
      <c r="K377" s="13" t="n"/>
      <c r="L377" s="13" t="n"/>
      <c r="M377" s="14">
        <f>IFERROR(IF(A377="","",IFERROR(VLOOKUP(A377,Raw_PriorMonth!A:E,5,FALSE),0)),0)</f>
        <v/>
      </c>
      <c r="N377" s="14">
        <f>IF(A377="","",IFERROR(E377,0)+IFERROR(M377,0))</f>
        <v/>
      </c>
      <c r="O377" s="15">
        <f>IF(A377="","",IF(N377&gt;=28,TRUE,FALSE))</f>
        <v/>
      </c>
      <c r="P377" s="15">
        <f>IF(A377="","",OR(G377=TRUE,O377=TRUE))</f>
        <v/>
      </c>
      <c r="Q377" s="16">
        <f>IF(A377="","",IFERROR(H377,0)+IFERROR(I377,0)+IFERROR(J377,0)+IFERROR(K377,0)+IFERROR(L377,0))</f>
        <v/>
      </c>
      <c r="R377" s="16">
        <f>IF(A377="","",IF(P377=TRUE,0,Q377))</f>
        <v/>
      </c>
      <c r="S377" s="16">
        <f>IF(A377="","",IF(P377=TRUE,0,IFERROR(H377,0)))</f>
        <v/>
      </c>
      <c r="T377" s="16">
        <f>IF(A377="","",IF(P377=TRUE,0,IFERROR(I377,0)))</f>
        <v/>
      </c>
      <c r="U377" s="16">
        <f>IF(A377="","",IF(P377=TRUE,0,IFERROR(J377,0)))</f>
        <v/>
      </c>
      <c r="V377" s="16">
        <f>IF(A377="","",IF(P377=TRUE,0,IFERROR(K377,0)))</f>
        <v/>
      </c>
      <c r="W377" s="16">
        <f>IF(A377="","",IF(P377=TRUE,0,IFERROR(L377,0)))</f>
        <v/>
      </c>
      <c r="X377" s="16">
        <f>IF(A377="","",IF(P377=TRUE,0,IFERROR(H377,0)+IFERROR(I377,0)+IFERROR(L377,0)))</f>
        <v/>
      </c>
      <c r="Y377" s="16">
        <f>IF(A377="",0,IF(G377=TRUE,IFERROR(H377,0)+IFERROR(I377,0)+IFERROR(J377,0)+IFERROR(K377,0)+IFERROR(L377,0),0))</f>
        <v/>
      </c>
      <c r="Z377" s="16">
        <f>IF(A377="",0,IF(AND(O377=TRUE,G377&lt;&gt;TRUE),IFERROR(H377,0)+IFERROR(I377,0)+IFERROR(J377,0)+IFERROR(K377,0)+IFERROR(L377,0),0))</f>
        <v/>
      </c>
    </row>
    <row r="378">
      <c r="A378" s="10" t="n"/>
      <c r="B378" s="10" t="n"/>
      <c r="C378" s="11" t="n"/>
      <c r="D378" s="11" t="n"/>
      <c r="E378" s="10" t="n"/>
      <c r="F378" s="10" t="n"/>
      <c r="G378" s="12" t="n"/>
      <c r="H378" s="13" t="n"/>
      <c r="I378" s="13" t="n"/>
      <c r="J378" s="13" t="n"/>
      <c r="K378" s="13" t="n"/>
      <c r="L378" s="13" t="n"/>
      <c r="M378" s="14">
        <f>IFERROR(IF(A378="","",IFERROR(VLOOKUP(A378,Raw_PriorMonth!A:E,5,FALSE),0)),0)</f>
        <v/>
      </c>
      <c r="N378" s="14">
        <f>IF(A378="","",IFERROR(E378,0)+IFERROR(M378,0))</f>
        <v/>
      </c>
      <c r="O378" s="15">
        <f>IF(A378="","",IF(N378&gt;=28,TRUE,FALSE))</f>
        <v/>
      </c>
      <c r="P378" s="15">
        <f>IF(A378="","",OR(G378=TRUE,O378=TRUE))</f>
        <v/>
      </c>
      <c r="Q378" s="16">
        <f>IF(A378="","",IFERROR(H378,0)+IFERROR(I378,0)+IFERROR(J378,0)+IFERROR(K378,0)+IFERROR(L378,0))</f>
        <v/>
      </c>
      <c r="R378" s="16">
        <f>IF(A378="","",IF(P378=TRUE,0,Q378))</f>
        <v/>
      </c>
      <c r="S378" s="16">
        <f>IF(A378="","",IF(P378=TRUE,0,IFERROR(H378,0)))</f>
        <v/>
      </c>
      <c r="T378" s="16">
        <f>IF(A378="","",IF(P378=TRUE,0,IFERROR(I378,0)))</f>
        <v/>
      </c>
      <c r="U378" s="16">
        <f>IF(A378="","",IF(P378=TRUE,0,IFERROR(J378,0)))</f>
        <v/>
      </c>
      <c r="V378" s="16">
        <f>IF(A378="","",IF(P378=TRUE,0,IFERROR(K378,0)))</f>
        <v/>
      </c>
      <c r="W378" s="16">
        <f>IF(A378="","",IF(P378=TRUE,0,IFERROR(L378,0)))</f>
        <v/>
      </c>
      <c r="X378" s="16">
        <f>IF(A378="","",IF(P378=TRUE,0,IFERROR(H378,0)+IFERROR(I378,0)+IFERROR(L378,0)))</f>
        <v/>
      </c>
      <c r="Y378" s="16">
        <f>IF(A378="",0,IF(G378=TRUE,IFERROR(H378,0)+IFERROR(I378,0)+IFERROR(J378,0)+IFERROR(K378,0)+IFERROR(L378,0),0))</f>
        <v/>
      </c>
      <c r="Z378" s="16">
        <f>IF(A378="",0,IF(AND(O378=TRUE,G378&lt;&gt;TRUE),IFERROR(H378,0)+IFERROR(I378,0)+IFERROR(J378,0)+IFERROR(K378,0)+IFERROR(L378,0),0))</f>
        <v/>
      </c>
    </row>
    <row r="379">
      <c r="A379" s="10" t="n"/>
      <c r="B379" s="10" t="n"/>
      <c r="C379" s="11" t="n"/>
      <c r="D379" s="11" t="n"/>
      <c r="E379" s="10" t="n"/>
      <c r="F379" s="10" t="n"/>
      <c r="G379" s="12" t="n"/>
      <c r="H379" s="13" t="n"/>
      <c r="I379" s="13" t="n"/>
      <c r="J379" s="13" t="n"/>
      <c r="K379" s="13" t="n"/>
      <c r="L379" s="13" t="n"/>
      <c r="M379" s="14">
        <f>IFERROR(IF(A379="","",IFERROR(VLOOKUP(A379,Raw_PriorMonth!A:E,5,FALSE),0)),0)</f>
        <v/>
      </c>
      <c r="N379" s="14">
        <f>IF(A379="","",IFERROR(E379,0)+IFERROR(M379,0))</f>
        <v/>
      </c>
      <c r="O379" s="15">
        <f>IF(A379="","",IF(N379&gt;=28,TRUE,FALSE))</f>
        <v/>
      </c>
      <c r="P379" s="15">
        <f>IF(A379="","",OR(G379=TRUE,O379=TRUE))</f>
        <v/>
      </c>
      <c r="Q379" s="16">
        <f>IF(A379="","",IFERROR(H379,0)+IFERROR(I379,0)+IFERROR(J379,0)+IFERROR(K379,0)+IFERROR(L379,0))</f>
        <v/>
      </c>
      <c r="R379" s="16">
        <f>IF(A379="","",IF(P379=TRUE,0,Q379))</f>
        <v/>
      </c>
      <c r="S379" s="16">
        <f>IF(A379="","",IF(P379=TRUE,0,IFERROR(H379,0)))</f>
        <v/>
      </c>
      <c r="T379" s="16">
        <f>IF(A379="","",IF(P379=TRUE,0,IFERROR(I379,0)))</f>
        <v/>
      </c>
      <c r="U379" s="16">
        <f>IF(A379="","",IF(P379=TRUE,0,IFERROR(J379,0)))</f>
        <v/>
      </c>
      <c r="V379" s="16">
        <f>IF(A379="","",IF(P379=TRUE,0,IFERROR(K379,0)))</f>
        <v/>
      </c>
      <c r="W379" s="16">
        <f>IF(A379="","",IF(P379=TRUE,0,IFERROR(L379,0)))</f>
        <v/>
      </c>
      <c r="X379" s="16">
        <f>IF(A379="","",IF(P379=TRUE,0,IFERROR(H379,0)+IFERROR(I379,0)+IFERROR(L379,0)))</f>
        <v/>
      </c>
      <c r="Y379" s="16">
        <f>IF(A379="",0,IF(G379=TRUE,IFERROR(H379,0)+IFERROR(I379,0)+IFERROR(J379,0)+IFERROR(K379,0)+IFERROR(L379,0),0))</f>
        <v/>
      </c>
      <c r="Z379" s="16">
        <f>IF(A379="",0,IF(AND(O379=TRUE,G379&lt;&gt;TRUE),IFERROR(H379,0)+IFERROR(I379,0)+IFERROR(J379,0)+IFERROR(K379,0)+IFERROR(L379,0),0))</f>
        <v/>
      </c>
    </row>
    <row r="380">
      <c r="A380" s="10" t="n"/>
      <c r="B380" s="10" t="n"/>
      <c r="C380" s="11" t="n"/>
      <c r="D380" s="11" t="n"/>
      <c r="E380" s="10" t="n"/>
      <c r="F380" s="10" t="n"/>
      <c r="G380" s="12" t="n"/>
      <c r="H380" s="13" t="n"/>
      <c r="I380" s="13" t="n"/>
      <c r="J380" s="13" t="n"/>
      <c r="K380" s="13" t="n"/>
      <c r="L380" s="13" t="n"/>
      <c r="M380" s="14">
        <f>IFERROR(IF(A380="","",IFERROR(VLOOKUP(A380,Raw_PriorMonth!A:E,5,FALSE),0)),0)</f>
        <v/>
      </c>
      <c r="N380" s="14">
        <f>IF(A380="","",IFERROR(E380,0)+IFERROR(M380,0))</f>
        <v/>
      </c>
      <c r="O380" s="15">
        <f>IF(A380="","",IF(N380&gt;=28,TRUE,FALSE))</f>
        <v/>
      </c>
      <c r="P380" s="15">
        <f>IF(A380="","",OR(G380=TRUE,O380=TRUE))</f>
        <v/>
      </c>
      <c r="Q380" s="16">
        <f>IF(A380="","",IFERROR(H380,0)+IFERROR(I380,0)+IFERROR(J380,0)+IFERROR(K380,0)+IFERROR(L380,0))</f>
        <v/>
      </c>
      <c r="R380" s="16">
        <f>IF(A380="","",IF(P380=TRUE,0,Q380))</f>
        <v/>
      </c>
      <c r="S380" s="16">
        <f>IF(A380="","",IF(P380=TRUE,0,IFERROR(H380,0)))</f>
        <v/>
      </c>
      <c r="T380" s="16">
        <f>IF(A380="","",IF(P380=TRUE,0,IFERROR(I380,0)))</f>
        <v/>
      </c>
      <c r="U380" s="16">
        <f>IF(A380="","",IF(P380=TRUE,0,IFERROR(J380,0)))</f>
        <v/>
      </c>
      <c r="V380" s="16">
        <f>IF(A380="","",IF(P380=TRUE,0,IFERROR(K380,0)))</f>
        <v/>
      </c>
      <c r="W380" s="16">
        <f>IF(A380="","",IF(P380=TRUE,0,IFERROR(L380,0)))</f>
        <v/>
      </c>
      <c r="X380" s="16">
        <f>IF(A380="","",IF(P380=TRUE,0,IFERROR(H380,0)+IFERROR(I380,0)+IFERROR(L380,0)))</f>
        <v/>
      </c>
      <c r="Y380" s="16">
        <f>IF(A380="",0,IF(G380=TRUE,IFERROR(H380,0)+IFERROR(I380,0)+IFERROR(J380,0)+IFERROR(K380,0)+IFERROR(L380,0),0))</f>
        <v/>
      </c>
      <c r="Z380" s="16">
        <f>IF(A380="",0,IF(AND(O380=TRUE,G380&lt;&gt;TRUE),IFERROR(H380,0)+IFERROR(I380,0)+IFERROR(J380,0)+IFERROR(K380,0)+IFERROR(L380,0),0))</f>
        <v/>
      </c>
    </row>
    <row r="381">
      <c r="A381" s="10" t="n"/>
      <c r="B381" s="10" t="n"/>
      <c r="C381" s="11" t="n"/>
      <c r="D381" s="11" t="n"/>
      <c r="E381" s="10" t="n"/>
      <c r="F381" s="10" t="n"/>
      <c r="G381" s="12" t="n"/>
      <c r="H381" s="13" t="n"/>
      <c r="I381" s="13" t="n"/>
      <c r="J381" s="13" t="n"/>
      <c r="K381" s="13" t="n"/>
      <c r="L381" s="13" t="n"/>
      <c r="M381" s="14">
        <f>IFERROR(IF(A381="","",IFERROR(VLOOKUP(A381,Raw_PriorMonth!A:E,5,FALSE),0)),0)</f>
        <v/>
      </c>
      <c r="N381" s="14">
        <f>IF(A381="","",IFERROR(E381,0)+IFERROR(M381,0))</f>
        <v/>
      </c>
      <c r="O381" s="15">
        <f>IF(A381="","",IF(N381&gt;=28,TRUE,FALSE))</f>
        <v/>
      </c>
      <c r="P381" s="15">
        <f>IF(A381="","",OR(G381=TRUE,O381=TRUE))</f>
        <v/>
      </c>
      <c r="Q381" s="16">
        <f>IF(A381="","",IFERROR(H381,0)+IFERROR(I381,0)+IFERROR(J381,0)+IFERROR(K381,0)+IFERROR(L381,0))</f>
        <v/>
      </c>
      <c r="R381" s="16">
        <f>IF(A381="","",IF(P381=TRUE,0,Q381))</f>
        <v/>
      </c>
      <c r="S381" s="16">
        <f>IF(A381="","",IF(P381=TRUE,0,IFERROR(H381,0)))</f>
        <v/>
      </c>
      <c r="T381" s="16">
        <f>IF(A381="","",IF(P381=TRUE,0,IFERROR(I381,0)))</f>
        <v/>
      </c>
      <c r="U381" s="16">
        <f>IF(A381="","",IF(P381=TRUE,0,IFERROR(J381,0)))</f>
        <v/>
      </c>
      <c r="V381" s="16">
        <f>IF(A381="","",IF(P381=TRUE,0,IFERROR(K381,0)))</f>
        <v/>
      </c>
      <c r="W381" s="16">
        <f>IF(A381="","",IF(P381=TRUE,0,IFERROR(L381,0)))</f>
        <v/>
      </c>
      <c r="X381" s="16">
        <f>IF(A381="","",IF(P381=TRUE,0,IFERROR(H381,0)+IFERROR(I381,0)+IFERROR(L381,0)))</f>
        <v/>
      </c>
      <c r="Y381" s="16">
        <f>IF(A381="",0,IF(G381=TRUE,IFERROR(H381,0)+IFERROR(I381,0)+IFERROR(J381,0)+IFERROR(K381,0)+IFERROR(L381,0),0))</f>
        <v/>
      </c>
      <c r="Z381" s="16">
        <f>IF(A381="",0,IF(AND(O381=TRUE,G381&lt;&gt;TRUE),IFERROR(H381,0)+IFERROR(I381,0)+IFERROR(J381,0)+IFERROR(K381,0)+IFERROR(L381,0),0))</f>
        <v/>
      </c>
    </row>
    <row r="382">
      <c r="A382" s="10" t="n"/>
      <c r="B382" s="10" t="n"/>
      <c r="C382" s="11" t="n"/>
      <c r="D382" s="11" t="n"/>
      <c r="E382" s="10" t="n"/>
      <c r="F382" s="10" t="n"/>
      <c r="G382" s="12" t="n"/>
      <c r="H382" s="13" t="n"/>
      <c r="I382" s="13" t="n"/>
      <c r="J382" s="13" t="n"/>
      <c r="K382" s="13" t="n"/>
      <c r="L382" s="13" t="n"/>
      <c r="M382" s="14">
        <f>IFERROR(IF(A382="","",IFERROR(VLOOKUP(A382,Raw_PriorMonth!A:E,5,FALSE),0)),0)</f>
        <v/>
      </c>
      <c r="N382" s="14">
        <f>IF(A382="","",IFERROR(E382,0)+IFERROR(M382,0))</f>
        <v/>
      </c>
      <c r="O382" s="15">
        <f>IF(A382="","",IF(N382&gt;=28,TRUE,FALSE))</f>
        <v/>
      </c>
      <c r="P382" s="15">
        <f>IF(A382="","",OR(G382=TRUE,O382=TRUE))</f>
        <v/>
      </c>
      <c r="Q382" s="16">
        <f>IF(A382="","",IFERROR(H382,0)+IFERROR(I382,0)+IFERROR(J382,0)+IFERROR(K382,0)+IFERROR(L382,0))</f>
        <v/>
      </c>
      <c r="R382" s="16">
        <f>IF(A382="","",IF(P382=TRUE,0,Q382))</f>
        <v/>
      </c>
      <c r="S382" s="16">
        <f>IF(A382="","",IF(P382=TRUE,0,IFERROR(H382,0)))</f>
        <v/>
      </c>
      <c r="T382" s="16">
        <f>IF(A382="","",IF(P382=TRUE,0,IFERROR(I382,0)))</f>
        <v/>
      </c>
      <c r="U382" s="16">
        <f>IF(A382="","",IF(P382=TRUE,0,IFERROR(J382,0)))</f>
        <v/>
      </c>
      <c r="V382" s="16">
        <f>IF(A382="","",IF(P382=TRUE,0,IFERROR(K382,0)))</f>
        <v/>
      </c>
      <c r="W382" s="16">
        <f>IF(A382="","",IF(P382=TRUE,0,IFERROR(L382,0)))</f>
        <v/>
      </c>
      <c r="X382" s="16">
        <f>IF(A382="","",IF(P382=TRUE,0,IFERROR(H382,0)+IFERROR(I382,0)+IFERROR(L382,0)))</f>
        <v/>
      </c>
      <c r="Y382" s="16">
        <f>IF(A382="",0,IF(G382=TRUE,IFERROR(H382,0)+IFERROR(I382,0)+IFERROR(J382,0)+IFERROR(K382,0)+IFERROR(L382,0),0))</f>
        <v/>
      </c>
      <c r="Z382" s="16">
        <f>IF(A382="",0,IF(AND(O382=TRUE,G382&lt;&gt;TRUE),IFERROR(H382,0)+IFERROR(I382,0)+IFERROR(J382,0)+IFERROR(K382,0)+IFERROR(L382,0),0))</f>
        <v/>
      </c>
    </row>
    <row r="383">
      <c r="A383" s="10" t="n"/>
      <c r="B383" s="10" t="n"/>
      <c r="C383" s="11" t="n"/>
      <c r="D383" s="11" t="n"/>
      <c r="E383" s="10" t="n"/>
      <c r="F383" s="10" t="n"/>
      <c r="G383" s="12" t="n"/>
      <c r="H383" s="13" t="n"/>
      <c r="I383" s="13" t="n"/>
      <c r="J383" s="13" t="n"/>
      <c r="K383" s="13" t="n"/>
      <c r="L383" s="13" t="n"/>
      <c r="M383" s="14">
        <f>IFERROR(IF(A383="","",IFERROR(VLOOKUP(A383,Raw_PriorMonth!A:E,5,FALSE),0)),0)</f>
        <v/>
      </c>
      <c r="N383" s="14">
        <f>IF(A383="","",IFERROR(E383,0)+IFERROR(M383,0))</f>
        <v/>
      </c>
      <c r="O383" s="15">
        <f>IF(A383="","",IF(N383&gt;=28,TRUE,FALSE))</f>
        <v/>
      </c>
      <c r="P383" s="15">
        <f>IF(A383="","",OR(G383=TRUE,O383=TRUE))</f>
        <v/>
      </c>
      <c r="Q383" s="16">
        <f>IF(A383="","",IFERROR(H383,0)+IFERROR(I383,0)+IFERROR(J383,0)+IFERROR(K383,0)+IFERROR(L383,0))</f>
        <v/>
      </c>
      <c r="R383" s="16">
        <f>IF(A383="","",IF(P383=TRUE,0,Q383))</f>
        <v/>
      </c>
      <c r="S383" s="16">
        <f>IF(A383="","",IF(P383=TRUE,0,IFERROR(H383,0)))</f>
        <v/>
      </c>
      <c r="T383" s="16">
        <f>IF(A383="","",IF(P383=TRUE,0,IFERROR(I383,0)))</f>
        <v/>
      </c>
      <c r="U383" s="16">
        <f>IF(A383="","",IF(P383=TRUE,0,IFERROR(J383,0)))</f>
        <v/>
      </c>
      <c r="V383" s="16">
        <f>IF(A383="","",IF(P383=TRUE,0,IFERROR(K383,0)))</f>
        <v/>
      </c>
      <c r="W383" s="16">
        <f>IF(A383="","",IF(P383=TRUE,0,IFERROR(L383,0)))</f>
        <v/>
      </c>
      <c r="X383" s="16">
        <f>IF(A383="","",IF(P383=TRUE,0,IFERROR(H383,0)+IFERROR(I383,0)+IFERROR(L383,0)))</f>
        <v/>
      </c>
      <c r="Y383" s="16">
        <f>IF(A383="",0,IF(G383=TRUE,IFERROR(H383,0)+IFERROR(I383,0)+IFERROR(J383,0)+IFERROR(K383,0)+IFERROR(L383,0),0))</f>
        <v/>
      </c>
      <c r="Z383" s="16">
        <f>IF(A383="",0,IF(AND(O383=TRUE,G383&lt;&gt;TRUE),IFERROR(H383,0)+IFERROR(I383,0)+IFERROR(J383,0)+IFERROR(K383,0)+IFERROR(L383,0),0))</f>
        <v/>
      </c>
    </row>
    <row r="384">
      <c r="A384" s="10" t="n"/>
      <c r="B384" s="10" t="n"/>
      <c r="C384" s="11" t="n"/>
      <c r="D384" s="11" t="n"/>
      <c r="E384" s="10" t="n"/>
      <c r="F384" s="10" t="n"/>
      <c r="G384" s="12" t="n"/>
      <c r="H384" s="13" t="n"/>
      <c r="I384" s="13" t="n"/>
      <c r="J384" s="13" t="n"/>
      <c r="K384" s="13" t="n"/>
      <c r="L384" s="13" t="n"/>
      <c r="M384" s="14">
        <f>IFERROR(IF(A384="","",IFERROR(VLOOKUP(A384,Raw_PriorMonth!A:E,5,FALSE),0)),0)</f>
        <v/>
      </c>
      <c r="N384" s="14">
        <f>IF(A384="","",IFERROR(E384,0)+IFERROR(M384,0))</f>
        <v/>
      </c>
      <c r="O384" s="15">
        <f>IF(A384="","",IF(N384&gt;=28,TRUE,FALSE))</f>
        <v/>
      </c>
      <c r="P384" s="15">
        <f>IF(A384="","",OR(G384=TRUE,O384=TRUE))</f>
        <v/>
      </c>
      <c r="Q384" s="16">
        <f>IF(A384="","",IFERROR(H384,0)+IFERROR(I384,0)+IFERROR(J384,0)+IFERROR(K384,0)+IFERROR(L384,0))</f>
        <v/>
      </c>
      <c r="R384" s="16">
        <f>IF(A384="","",IF(P384=TRUE,0,Q384))</f>
        <v/>
      </c>
      <c r="S384" s="16">
        <f>IF(A384="","",IF(P384=TRUE,0,IFERROR(H384,0)))</f>
        <v/>
      </c>
      <c r="T384" s="16">
        <f>IF(A384="","",IF(P384=TRUE,0,IFERROR(I384,0)))</f>
        <v/>
      </c>
      <c r="U384" s="16">
        <f>IF(A384="","",IF(P384=TRUE,0,IFERROR(J384,0)))</f>
        <v/>
      </c>
      <c r="V384" s="16">
        <f>IF(A384="","",IF(P384=TRUE,0,IFERROR(K384,0)))</f>
        <v/>
      </c>
      <c r="W384" s="16">
        <f>IF(A384="","",IF(P384=TRUE,0,IFERROR(L384,0)))</f>
        <v/>
      </c>
      <c r="X384" s="16">
        <f>IF(A384="","",IF(P384=TRUE,0,IFERROR(H384,0)+IFERROR(I384,0)+IFERROR(L384,0)))</f>
        <v/>
      </c>
      <c r="Y384" s="16">
        <f>IF(A384="",0,IF(G384=TRUE,IFERROR(H384,0)+IFERROR(I384,0)+IFERROR(J384,0)+IFERROR(K384,0)+IFERROR(L384,0),0))</f>
        <v/>
      </c>
      <c r="Z384" s="16">
        <f>IF(A384="",0,IF(AND(O384=TRUE,G384&lt;&gt;TRUE),IFERROR(H384,0)+IFERROR(I384,0)+IFERROR(J384,0)+IFERROR(K384,0)+IFERROR(L384,0),0))</f>
        <v/>
      </c>
    </row>
    <row r="385">
      <c r="A385" s="10" t="n"/>
      <c r="B385" s="10" t="n"/>
      <c r="C385" s="11" t="n"/>
      <c r="D385" s="11" t="n"/>
      <c r="E385" s="10" t="n"/>
      <c r="F385" s="10" t="n"/>
      <c r="G385" s="12" t="n"/>
      <c r="H385" s="13" t="n"/>
      <c r="I385" s="13" t="n"/>
      <c r="J385" s="13" t="n"/>
      <c r="K385" s="13" t="n"/>
      <c r="L385" s="13" t="n"/>
      <c r="M385" s="14">
        <f>IFERROR(IF(A385="","",IFERROR(VLOOKUP(A385,Raw_PriorMonth!A:E,5,FALSE),0)),0)</f>
        <v/>
      </c>
      <c r="N385" s="14">
        <f>IF(A385="","",IFERROR(E385,0)+IFERROR(M385,0))</f>
        <v/>
      </c>
      <c r="O385" s="15">
        <f>IF(A385="","",IF(N385&gt;=28,TRUE,FALSE))</f>
        <v/>
      </c>
      <c r="P385" s="15">
        <f>IF(A385="","",OR(G385=TRUE,O385=TRUE))</f>
        <v/>
      </c>
      <c r="Q385" s="16">
        <f>IF(A385="","",IFERROR(H385,0)+IFERROR(I385,0)+IFERROR(J385,0)+IFERROR(K385,0)+IFERROR(L385,0))</f>
        <v/>
      </c>
      <c r="R385" s="16">
        <f>IF(A385="","",IF(P385=TRUE,0,Q385))</f>
        <v/>
      </c>
      <c r="S385" s="16">
        <f>IF(A385="","",IF(P385=TRUE,0,IFERROR(H385,0)))</f>
        <v/>
      </c>
      <c r="T385" s="16">
        <f>IF(A385="","",IF(P385=TRUE,0,IFERROR(I385,0)))</f>
        <v/>
      </c>
      <c r="U385" s="16">
        <f>IF(A385="","",IF(P385=TRUE,0,IFERROR(J385,0)))</f>
        <v/>
      </c>
      <c r="V385" s="16">
        <f>IF(A385="","",IF(P385=TRUE,0,IFERROR(K385,0)))</f>
        <v/>
      </c>
      <c r="W385" s="16">
        <f>IF(A385="","",IF(P385=TRUE,0,IFERROR(L385,0)))</f>
        <v/>
      </c>
      <c r="X385" s="16">
        <f>IF(A385="","",IF(P385=TRUE,0,IFERROR(H385,0)+IFERROR(I385,0)+IFERROR(L385,0)))</f>
        <v/>
      </c>
      <c r="Y385" s="16">
        <f>IF(A385="",0,IF(G385=TRUE,IFERROR(H385,0)+IFERROR(I385,0)+IFERROR(J385,0)+IFERROR(K385,0)+IFERROR(L385,0),0))</f>
        <v/>
      </c>
      <c r="Z385" s="16">
        <f>IF(A385="",0,IF(AND(O385=TRUE,G385&lt;&gt;TRUE),IFERROR(H385,0)+IFERROR(I385,0)+IFERROR(J385,0)+IFERROR(K385,0)+IFERROR(L385,0),0))</f>
        <v/>
      </c>
    </row>
    <row r="386">
      <c r="A386" s="10" t="n"/>
      <c r="B386" s="10" t="n"/>
      <c r="C386" s="11" t="n"/>
      <c r="D386" s="11" t="n"/>
      <c r="E386" s="10" t="n"/>
      <c r="F386" s="10" t="n"/>
      <c r="G386" s="12" t="n"/>
      <c r="H386" s="13" t="n"/>
      <c r="I386" s="13" t="n"/>
      <c r="J386" s="13" t="n"/>
      <c r="K386" s="13" t="n"/>
      <c r="L386" s="13" t="n"/>
      <c r="M386" s="14">
        <f>IFERROR(IF(A386="","",IFERROR(VLOOKUP(A386,Raw_PriorMonth!A:E,5,FALSE),0)),0)</f>
        <v/>
      </c>
      <c r="N386" s="14">
        <f>IF(A386="","",IFERROR(E386,0)+IFERROR(M386,0))</f>
        <v/>
      </c>
      <c r="O386" s="15">
        <f>IF(A386="","",IF(N386&gt;=28,TRUE,FALSE))</f>
        <v/>
      </c>
      <c r="P386" s="15">
        <f>IF(A386="","",OR(G386=TRUE,O386=TRUE))</f>
        <v/>
      </c>
      <c r="Q386" s="16">
        <f>IF(A386="","",IFERROR(H386,0)+IFERROR(I386,0)+IFERROR(J386,0)+IFERROR(K386,0)+IFERROR(L386,0))</f>
        <v/>
      </c>
      <c r="R386" s="16">
        <f>IF(A386="","",IF(P386=TRUE,0,Q386))</f>
        <v/>
      </c>
      <c r="S386" s="16">
        <f>IF(A386="","",IF(P386=TRUE,0,IFERROR(H386,0)))</f>
        <v/>
      </c>
      <c r="T386" s="16">
        <f>IF(A386="","",IF(P386=TRUE,0,IFERROR(I386,0)))</f>
        <v/>
      </c>
      <c r="U386" s="16">
        <f>IF(A386="","",IF(P386=TRUE,0,IFERROR(J386,0)))</f>
        <v/>
      </c>
      <c r="V386" s="16">
        <f>IF(A386="","",IF(P386=TRUE,0,IFERROR(K386,0)))</f>
        <v/>
      </c>
      <c r="W386" s="16">
        <f>IF(A386="","",IF(P386=TRUE,0,IFERROR(L386,0)))</f>
        <v/>
      </c>
      <c r="X386" s="16">
        <f>IF(A386="","",IF(P386=TRUE,0,IFERROR(H386,0)+IFERROR(I386,0)+IFERROR(L386,0)))</f>
        <v/>
      </c>
      <c r="Y386" s="16">
        <f>IF(A386="",0,IF(G386=TRUE,IFERROR(H386,0)+IFERROR(I386,0)+IFERROR(J386,0)+IFERROR(K386,0)+IFERROR(L386,0),0))</f>
        <v/>
      </c>
      <c r="Z386" s="16">
        <f>IF(A386="",0,IF(AND(O386=TRUE,G386&lt;&gt;TRUE),IFERROR(H386,0)+IFERROR(I386,0)+IFERROR(J386,0)+IFERROR(K386,0)+IFERROR(L386,0),0))</f>
        <v/>
      </c>
    </row>
    <row r="387">
      <c r="A387" s="10" t="n"/>
      <c r="B387" s="10" t="n"/>
      <c r="C387" s="11" t="n"/>
      <c r="D387" s="11" t="n"/>
      <c r="E387" s="10" t="n"/>
      <c r="F387" s="10" t="n"/>
      <c r="G387" s="12" t="n"/>
      <c r="H387" s="13" t="n"/>
      <c r="I387" s="13" t="n"/>
      <c r="J387" s="13" t="n"/>
      <c r="K387" s="13" t="n"/>
      <c r="L387" s="13" t="n"/>
      <c r="M387" s="14">
        <f>IFERROR(IF(A387="","",IFERROR(VLOOKUP(A387,Raw_PriorMonth!A:E,5,FALSE),0)),0)</f>
        <v/>
      </c>
      <c r="N387" s="14">
        <f>IF(A387="","",IFERROR(E387,0)+IFERROR(M387,0))</f>
        <v/>
      </c>
      <c r="O387" s="15">
        <f>IF(A387="","",IF(N387&gt;=28,TRUE,FALSE))</f>
        <v/>
      </c>
      <c r="P387" s="15">
        <f>IF(A387="","",OR(G387=TRUE,O387=TRUE))</f>
        <v/>
      </c>
      <c r="Q387" s="16">
        <f>IF(A387="","",IFERROR(H387,0)+IFERROR(I387,0)+IFERROR(J387,0)+IFERROR(K387,0)+IFERROR(L387,0))</f>
        <v/>
      </c>
      <c r="R387" s="16">
        <f>IF(A387="","",IF(P387=TRUE,0,Q387))</f>
        <v/>
      </c>
      <c r="S387" s="16">
        <f>IF(A387="","",IF(P387=TRUE,0,IFERROR(H387,0)))</f>
        <v/>
      </c>
      <c r="T387" s="16">
        <f>IF(A387="","",IF(P387=TRUE,0,IFERROR(I387,0)))</f>
        <v/>
      </c>
      <c r="U387" s="16">
        <f>IF(A387="","",IF(P387=TRUE,0,IFERROR(J387,0)))</f>
        <v/>
      </c>
      <c r="V387" s="16">
        <f>IF(A387="","",IF(P387=TRUE,0,IFERROR(K387,0)))</f>
        <v/>
      </c>
      <c r="W387" s="16">
        <f>IF(A387="","",IF(P387=TRUE,0,IFERROR(L387,0)))</f>
        <v/>
      </c>
      <c r="X387" s="16">
        <f>IF(A387="","",IF(P387=TRUE,0,IFERROR(H387,0)+IFERROR(I387,0)+IFERROR(L387,0)))</f>
        <v/>
      </c>
      <c r="Y387" s="16">
        <f>IF(A387="",0,IF(G387=TRUE,IFERROR(H387,0)+IFERROR(I387,0)+IFERROR(J387,0)+IFERROR(K387,0)+IFERROR(L387,0),0))</f>
        <v/>
      </c>
      <c r="Z387" s="16">
        <f>IF(A387="",0,IF(AND(O387=TRUE,G387&lt;&gt;TRUE),IFERROR(H387,0)+IFERROR(I387,0)+IFERROR(J387,0)+IFERROR(K387,0)+IFERROR(L387,0),0))</f>
        <v/>
      </c>
    </row>
    <row r="388">
      <c r="A388" s="10" t="n"/>
      <c r="B388" s="10" t="n"/>
      <c r="C388" s="11" t="n"/>
      <c r="D388" s="11" t="n"/>
      <c r="E388" s="10" t="n"/>
      <c r="F388" s="10" t="n"/>
      <c r="G388" s="12" t="n"/>
      <c r="H388" s="13" t="n"/>
      <c r="I388" s="13" t="n"/>
      <c r="J388" s="13" t="n"/>
      <c r="K388" s="13" t="n"/>
      <c r="L388" s="13" t="n"/>
      <c r="M388" s="14">
        <f>IFERROR(IF(A388="","",IFERROR(VLOOKUP(A388,Raw_PriorMonth!A:E,5,FALSE),0)),0)</f>
        <v/>
      </c>
      <c r="N388" s="14">
        <f>IF(A388="","",IFERROR(E388,0)+IFERROR(M388,0))</f>
        <v/>
      </c>
      <c r="O388" s="15">
        <f>IF(A388="","",IF(N388&gt;=28,TRUE,FALSE))</f>
        <v/>
      </c>
      <c r="P388" s="15">
        <f>IF(A388="","",OR(G388=TRUE,O388=TRUE))</f>
        <v/>
      </c>
      <c r="Q388" s="16">
        <f>IF(A388="","",IFERROR(H388,0)+IFERROR(I388,0)+IFERROR(J388,0)+IFERROR(K388,0)+IFERROR(L388,0))</f>
        <v/>
      </c>
      <c r="R388" s="16">
        <f>IF(A388="","",IF(P388=TRUE,0,Q388))</f>
        <v/>
      </c>
      <c r="S388" s="16">
        <f>IF(A388="","",IF(P388=TRUE,0,IFERROR(H388,0)))</f>
        <v/>
      </c>
      <c r="T388" s="16">
        <f>IF(A388="","",IF(P388=TRUE,0,IFERROR(I388,0)))</f>
        <v/>
      </c>
      <c r="U388" s="16">
        <f>IF(A388="","",IF(P388=TRUE,0,IFERROR(J388,0)))</f>
        <v/>
      </c>
      <c r="V388" s="16">
        <f>IF(A388="","",IF(P388=TRUE,0,IFERROR(K388,0)))</f>
        <v/>
      </c>
      <c r="W388" s="16">
        <f>IF(A388="","",IF(P388=TRUE,0,IFERROR(L388,0)))</f>
        <v/>
      </c>
      <c r="X388" s="16">
        <f>IF(A388="","",IF(P388=TRUE,0,IFERROR(H388,0)+IFERROR(I388,0)+IFERROR(L388,0)))</f>
        <v/>
      </c>
      <c r="Y388" s="16">
        <f>IF(A388="",0,IF(G388=TRUE,IFERROR(H388,0)+IFERROR(I388,0)+IFERROR(J388,0)+IFERROR(K388,0)+IFERROR(L388,0),0))</f>
        <v/>
      </c>
      <c r="Z388" s="16">
        <f>IF(A388="",0,IF(AND(O388=TRUE,G388&lt;&gt;TRUE),IFERROR(H388,0)+IFERROR(I388,0)+IFERROR(J388,0)+IFERROR(K388,0)+IFERROR(L388,0),0))</f>
        <v/>
      </c>
    </row>
    <row r="389">
      <c r="A389" s="10" t="n"/>
      <c r="B389" s="10" t="n"/>
      <c r="C389" s="11" t="n"/>
      <c r="D389" s="11" t="n"/>
      <c r="E389" s="10" t="n"/>
      <c r="F389" s="10" t="n"/>
      <c r="G389" s="12" t="n"/>
      <c r="H389" s="13" t="n"/>
      <c r="I389" s="13" t="n"/>
      <c r="J389" s="13" t="n"/>
      <c r="K389" s="13" t="n"/>
      <c r="L389" s="13" t="n"/>
      <c r="M389" s="14">
        <f>IFERROR(IF(A389="","",IFERROR(VLOOKUP(A389,Raw_PriorMonth!A:E,5,FALSE),0)),0)</f>
        <v/>
      </c>
      <c r="N389" s="14">
        <f>IF(A389="","",IFERROR(E389,0)+IFERROR(M389,0))</f>
        <v/>
      </c>
      <c r="O389" s="15">
        <f>IF(A389="","",IF(N389&gt;=28,TRUE,FALSE))</f>
        <v/>
      </c>
      <c r="P389" s="15">
        <f>IF(A389="","",OR(G389=TRUE,O389=TRUE))</f>
        <v/>
      </c>
      <c r="Q389" s="16">
        <f>IF(A389="","",IFERROR(H389,0)+IFERROR(I389,0)+IFERROR(J389,0)+IFERROR(K389,0)+IFERROR(L389,0))</f>
        <v/>
      </c>
      <c r="R389" s="16">
        <f>IF(A389="","",IF(P389=TRUE,0,Q389))</f>
        <v/>
      </c>
      <c r="S389" s="16">
        <f>IF(A389="","",IF(P389=TRUE,0,IFERROR(H389,0)))</f>
        <v/>
      </c>
      <c r="T389" s="16">
        <f>IF(A389="","",IF(P389=TRUE,0,IFERROR(I389,0)))</f>
        <v/>
      </c>
      <c r="U389" s="16">
        <f>IF(A389="","",IF(P389=TRUE,0,IFERROR(J389,0)))</f>
        <v/>
      </c>
      <c r="V389" s="16">
        <f>IF(A389="","",IF(P389=TRUE,0,IFERROR(K389,0)))</f>
        <v/>
      </c>
      <c r="W389" s="16">
        <f>IF(A389="","",IF(P389=TRUE,0,IFERROR(L389,0)))</f>
        <v/>
      </c>
      <c r="X389" s="16">
        <f>IF(A389="","",IF(P389=TRUE,0,IFERROR(H389,0)+IFERROR(I389,0)+IFERROR(L389,0)))</f>
        <v/>
      </c>
      <c r="Y389" s="16">
        <f>IF(A389="",0,IF(G389=TRUE,IFERROR(H389,0)+IFERROR(I389,0)+IFERROR(J389,0)+IFERROR(K389,0)+IFERROR(L389,0),0))</f>
        <v/>
      </c>
      <c r="Z389" s="16">
        <f>IF(A389="",0,IF(AND(O389=TRUE,G389&lt;&gt;TRUE),IFERROR(H389,0)+IFERROR(I389,0)+IFERROR(J389,0)+IFERROR(K389,0)+IFERROR(L389,0),0))</f>
        <v/>
      </c>
    </row>
    <row r="390">
      <c r="A390" s="10" t="n"/>
      <c r="B390" s="10" t="n"/>
      <c r="C390" s="11" t="n"/>
      <c r="D390" s="11" t="n"/>
      <c r="E390" s="10" t="n"/>
      <c r="F390" s="10" t="n"/>
      <c r="G390" s="12" t="n"/>
      <c r="H390" s="13" t="n"/>
      <c r="I390" s="13" t="n"/>
      <c r="J390" s="13" t="n"/>
      <c r="K390" s="13" t="n"/>
      <c r="L390" s="13" t="n"/>
      <c r="M390" s="14">
        <f>IFERROR(IF(A390="","",IFERROR(VLOOKUP(A390,Raw_PriorMonth!A:E,5,FALSE),0)),0)</f>
        <v/>
      </c>
      <c r="N390" s="14">
        <f>IF(A390="","",IFERROR(E390,0)+IFERROR(M390,0))</f>
        <v/>
      </c>
      <c r="O390" s="15">
        <f>IF(A390="","",IF(N390&gt;=28,TRUE,FALSE))</f>
        <v/>
      </c>
      <c r="P390" s="15">
        <f>IF(A390="","",OR(G390=TRUE,O390=TRUE))</f>
        <v/>
      </c>
      <c r="Q390" s="16">
        <f>IF(A390="","",IFERROR(H390,0)+IFERROR(I390,0)+IFERROR(J390,0)+IFERROR(K390,0)+IFERROR(L390,0))</f>
        <v/>
      </c>
      <c r="R390" s="16">
        <f>IF(A390="","",IF(P390=TRUE,0,Q390))</f>
        <v/>
      </c>
      <c r="S390" s="16">
        <f>IF(A390="","",IF(P390=TRUE,0,IFERROR(H390,0)))</f>
        <v/>
      </c>
      <c r="T390" s="16">
        <f>IF(A390="","",IF(P390=TRUE,0,IFERROR(I390,0)))</f>
        <v/>
      </c>
      <c r="U390" s="16">
        <f>IF(A390="","",IF(P390=TRUE,0,IFERROR(J390,0)))</f>
        <v/>
      </c>
      <c r="V390" s="16">
        <f>IF(A390="","",IF(P390=TRUE,0,IFERROR(K390,0)))</f>
        <v/>
      </c>
      <c r="W390" s="16">
        <f>IF(A390="","",IF(P390=TRUE,0,IFERROR(L390,0)))</f>
        <v/>
      </c>
      <c r="X390" s="16">
        <f>IF(A390="","",IF(P390=TRUE,0,IFERROR(H390,0)+IFERROR(I390,0)+IFERROR(L390,0)))</f>
        <v/>
      </c>
      <c r="Y390" s="16">
        <f>IF(A390="",0,IF(G390=TRUE,IFERROR(H390,0)+IFERROR(I390,0)+IFERROR(J390,0)+IFERROR(K390,0)+IFERROR(L390,0),0))</f>
        <v/>
      </c>
      <c r="Z390" s="16">
        <f>IF(A390="",0,IF(AND(O390=TRUE,G390&lt;&gt;TRUE),IFERROR(H390,0)+IFERROR(I390,0)+IFERROR(J390,0)+IFERROR(K390,0)+IFERROR(L390,0),0))</f>
        <v/>
      </c>
    </row>
    <row r="391">
      <c r="A391" s="10" t="n"/>
      <c r="B391" s="10" t="n"/>
      <c r="C391" s="11" t="n"/>
      <c r="D391" s="11" t="n"/>
      <c r="E391" s="10" t="n"/>
      <c r="F391" s="10" t="n"/>
      <c r="G391" s="12" t="n"/>
      <c r="H391" s="13" t="n"/>
      <c r="I391" s="13" t="n"/>
      <c r="J391" s="13" t="n"/>
      <c r="K391" s="13" t="n"/>
      <c r="L391" s="13" t="n"/>
      <c r="M391" s="14">
        <f>IFERROR(IF(A391="","",IFERROR(VLOOKUP(A391,Raw_PriorMonth!A:E,5,FALSE),0)),0)</f>
        <v/>
      </c>
      <c r="N391" s="14">
        <f>IF(A391="","",IFERROR(E391,0)+IFERROR(M391,0))</f>
        <v/>
      </c>
      <c r="O391" s="15">
        <f>IF(A391="","",IF(N391&gt;=28,TRUE,FALSE))</f>
        <v/>
      </c>
      <c r="P391" s="15">
        <f>IF(A391="","",OR(G391=TRUE,O391=TRUE))</f>
        <v/>
      </c>
      <c r="Q391" s="16">
        <f>IF(A391="","",IFERROR(H391,0)+IFERROR(I391,0)+IFERROR(J391,0)+IFERROR(K391,0)+IFERROR(L391,0))</f>
        <v/>
      </c>
      <c r="R391" s="16">
        <f>IF(A391="","",IF(P391=TRUE,0,Q391))</f>
        <v/>
      </c>
      <c r="S391" s="16">
        <f>IF(A391="","",IF(P391=TRUE,0,IFERROR(H391,0)))</f>
        <v/>
      </c>
      <c r="T391" s="16">
        <f>IF(A391="","",IF(P391=TRUE,0,IFERROR(I391,0)))</f>
        <v/>
      </c>
      <c r="U391" s="16">
        <f>IF(A391="","",IF(P391=TRUE,0,IFERROR(J391,0)))</f>
        <v/>
      </c>
      <c r="V391" s="16">
        <f>IF(A391="","",IF(P391=TRUE,0,IFERROR(K391,0)))</f>
        <v/>
      </c>
      <c r="W391" s="16">
        <f>IF(A391="","",IF(P391=TRUE,0,IFERROR(L391,0)))</f>
        <v/>
      </c>
      <c r="X391" s="16">
        <f>IF(A391="","",IF(P391=TRUE,0,IFERROR(H391,0)+IFERROR(I391,0)+IFERROR(L391,0)))</f>
        <v/>
      </c>
      <c r="Y391" s="16">
        <f>IF(A391="",0,IF(G391=TRUE,IFERROR(H391,0)+IFERROR(I391,0)+IFERROR(J391,0)+IFERROR(K391,0)+IFERROR(L391,0),0))</f>
        <v/>
      </c>
      <c r="Z391" s="16">
        <f>IF(A391="",0,IF(AND(O391=TRUE,G391&lt;&gt;TRUE),IFERROR(H391,0)+IFERROR(I391,0)+IFERROR(J391,0)+IFERROR(K391,0)+IFERROR(L391,0),0))</f>
        <v/>
      </c>
    </row>
    <row r="392">
      <c r="A392" s="10" t="n"/>
      <c r="B392" s="10" t="n"/>
      <c r="C392" s="11" t="n"/>
      <c r="D392" s="11" t="n"/>
      <c r="E392" s="10" t="n"/>
      <c r="F392" s="10" t="n"/>
      <c r="G392" s="12" t="n"/>
      <c r="H392" s="13" t="n"/>
      <c r="I392" s="13" t="n"/>
      <c r="J392" s="13" t="n"/>
      <c r="K392" s="13" t="n"/>
      <c r="L392" s="13" t="n"/>
      <c r="M392" s="14">
        <f>IFERROR(IF(A392="","",IFERROR(VLOOKUP(A392,Raw_PriorMonth!A:E,5,FALSE),0)),0)</f>
        <v/>
      </c>
      <c r="N392" s="14">
        <f>IF(A392="","",IFERROR(E392,0)+IFERROR(M392,0))</f>
        <v/>
      </c>
      <c r="O392" s="15">
        <f>IF(A392="","",IF(N392&gt;=28,TRUE,FALSE))</f>
        <v/>
      </c>
      <c r="P392" s="15">
        <f>IF(A392="","",OR(G392=TRUE,O392=TRUE))</f>
        <v/>
      </c>
      <c r="Q392" s="16">
        <f>IF(A392="","",IFERROR(H392,0)+IFERROR(I392,0)+IFERROR(J392,0)+IFERROR(K392,0)+IFERROR(L392,0))</f>
        <v/>
      </c>
      <c r="R392" s="16">
        <f>IF(A392="","",IF(P392=TRUE,0,Q392))</f>
        <v/>
      </c>
      <c r="S392" s="16">
        <f>IF(A392="","",IF(P392=TRUE,0,IFERROR(H392,0)))</f>
        <v/>
      </c>
      <c r="T392" s="16">
        <f>IF(A392="","",IF(P392=TRUE,0,IFERROR(I392,0)))</f>
        <v/>
      </c>
      <c r="U392" s="16">
        <f>IF(A392="","",IF(P392=TRUE,0,IFERROR(J392,0)))</f>
        <v/>
      </c>
      <c r="V392" s="16">
        <f>IF(A392="","",IF(P392=TRUE,0,IFERROR(K392,0)))</f>
        <v/>
      </c>
      <c r="W392" s="16">
        <f>IF(A392="","",IF(P392=TRUE,0,IFERROR(L392,0)))</f>
        <v/>
      </c>
      <c r="X392" s="16">
        <f>IF(A392="","",IF(P392=TRUE,0,IFERROR(H392,0)+IFERROR(I392,0)+IFERROR(L392,0)))</f>
        <v/>
      </c>
      <c r="Y392" s="16">
        <f>IF(A392="",0,IF(G392=TRUE,IFERROR(H392,0)+IFERROR(I392,0)+IFERROR(J392,0)+IFERROR(K392,0)+IFERROR(L392,0),0))</f>
        <v/>
      </c>
      <c r="Z392" s="16">
        <f>IF(A392="",0,IF(AND(O392=TRUE,G392&lt;&gt;TRUE),IFERROR(H392,0)+IFERROR(I392,0)+IFERROR(J392,0)+IFERROR(K392,0)+IFERROR(L392,0),0))</f>
        <v/>
      </c>
    </row>
    <row r="393">
      <c r="A393" s="10" t="n"/>
      <c r="B393" s="10" t="n"/>
      <c r="C393" s="11" t="n"/>
      <c r="D393" s="11" t="n"/>
      <c r="E393" s="10" t="n"/>
      <c r="F393" s="10" t="n"/>
      <c r="G393" s="12" t="n"/>
      <c r="H393" s="13" t="n"/>
      <c r="I393" s="13" t="n"/>
      <c r="J393" s="13" t="n"/>
      <c r="K393" s="13" t="n"/>
      <c r="L393" s="13" t="n"/>
      <c r="M393" s="14">
        <f>IFERROR(IF(A393="","",IFERROR(VLOOKUP(A393,Raw_PriorMonth!A:E,5,FALSE),0)),0)</f>
        <v/>
      </c>
      <c r="N393" s="14">
        <f>IF(A393="","",IFERROR(E393,0)+IFERROR(M393,0))</f>
        <v/>
      </c>
      <c r="O393" s="15">
        <f>IF(A393="","",IF(N393&gt;=28,TRUE,FALSE))</f>
        <v/>
      </c>
      <c r="P393" s="15">
        <f>IF(A393="","",OR(G393=TRUE,O393=TRUE))</f>
        <v/>
      </c>
      <c r="Q393" s="16">
        <f>IF(A393="","",IFERROR(H393,0)+IFERROR(I393,0)+IFERROR(J393,0)+IFERROR(K393,0)+IFERROR(L393,0))</f>
        <v/>
      </c>
      <c r="R393" s="16">
        <f>IF(A393="","",IF(P393=TRUE,0,Q393))</f>
        <v/>
      </c>
      <c r="S393" s="16">
        <f>IF(A393="","",IF(P393=TRUE,0,IFERROR(H393,0)))</f>
        <v/>
      </c>
      <c r="T393" s="16">
        <f>IF(A393="","",IF(P393=TRUE,0,IFERROR(I393,0)))</f>
        <v/>
      </c>
      <c r="U393" s="16">
        <f>IF(A393="","",IF(P393=TRUE,0,IFERROR(J393,0)))</f>
        <v/>
      </c>
      <c r="V393" s="16">
        <f>IF(A393="","",IF(P393=TRUE,0,IFERROR(K393,0)))</f>
        <v/>
      </c>
      <c r="W393" s="16">
        <f>IF(A393="","",IF(P393=TRUE,0,IFERROR(L393,0)))</f>
        <v/>
      </c>
      <c r="X393" s="16">
        <f>IF(A393="","",IF(P393=TRUE,0,IFERROR(H393,0)+IFERROR(I393,0)+IFERROR(L393,0)))</f>
        <v/>
      </c>
      <c r="Y393" s="16">
        <f>IF(A393="",0,IF(G393=TRUE,IFERROR(H393,0)+IFERROR(I393,0)+IFERROR(J393,0)+IFERROR(K393,0)+IFERROR(L393,0),0))</f>
        <v/>
      </c>
      <c r="Z393" s="16">
        <f>IF(A393="",0,IF(AND(O393=TRUE,G393&lt;&gt;TRUE),IFERROR(H393,0)+IFERROR(I393,0)+IFERROR(J393,0)+IFERROR(K393,0)+IFERROR(L393,0),0))</f>
        <v/>
      </c>
    </row>
    <row r="394">
      <c r="A394" s="10" t="n"/>
      <c r="B394" s="10" t="n"/>
      <c r="C394" s="11" t="n"/>
      <c r="D394" s="11" t="n"/>
      <c r="E394" s="10" t="n"/>
      <c r="F394" s="10" t="n"/>
      <c r="G394" s="12" t="n"/>
      <c r="H394" s="13" t="n"/>
      <c r="I394" s="13" t="n"/>
      <c r="J394" s="13" t="n"/>
      <c r="K394" s="13" t="n"/>
      <c r="L394" s="13" t="n"/>
      <c r="M394" s="14">
        <f>IFERROR(IF(A394="","",IFERROR(VLOOKUP(A394,Raw_PriorMonth!A:E,5,FALSE),0)),0)</f>
        <v/>
      </c>
      <c r="N394" s="14">
        <f>IF(A394="","",IFERROR(E394,0)+IFERROR(M394,0))</f>
        <v/>
      </c>
      <c r="O394" s="15">
        <f>IF(A394="","",IF(N394&gt;=28,TRUE,FALSE))</f>
        <v/>
      </c>
      <c r="P394" s="15">
        <f>IF(A394="","",OR(G394=TRUE,O394=TRUE))</f>
        <v/>
      </c>
      <c r="Q394" s="16">
        <f>IF(A394="","",IFERROR(H394,0)+IFERROR(I394,0)+IFERROR(J394,0)+IFERROR(K394,0)+IFERROR(L394,0))</f>
        <v/>
      </c>
      <c r="R394" s="16">
        <f>IF(A394="","",IF(P394=TRUE,0,Q394))</f>
        <v/>
      </c>
      <c r="S394" s="16">
        <f>IF(A394="","",IF(P394=TRUE,0,IFERROR(H394,0)))</f>
        <v/>
      </c>
      <c r="T394" s="16">
        <f>IF(A394="","",IF(P394=TRUE,0,IFERROR(I394,0)))</f>
        <v/>
      </c>
      <c r="U394" s="16">
        <f>IF(A394="","",IF(P394=TRUE,0,IFERROR(J394,0)))</f>
        <v/>
      </c>
      <c r="V394" s="16">
        <f>IF(A394="","",IF(P394=TRUE,0,IFERROR(K394,0)))</f>
        <v/>
      </c>
      <c r="W394" s="16">
        <f>IF(A394="","",IF(P394=TRUE,0,IFERROR(L394,0)))</f>
        <v/>
      </c>
      <c r="X394" s="16">
        <f>IF(A394="","",IF(P394=TRUE,0,IFERROR(H394,0)+IFERROR(I394,0)+IFERROR(L394,0)))</f>
        <v/>
      </c>
      <c r="Y394" s="16">
        <f>IF(A394="",0,IF(G394=TRUE,IFERROR(H394,0)+IFERROR(I394,0)+IFERROR(J394,0)+IFERROR(K394,0)+IFERROR(L394,0),0))</f>
        <v/>
      </c>
      <c r="Z394" s="16">
        <f>IF(A394="",0,IF(AND(O394=TRUE,G394&lt;&gt;TRUE),IFERROR(H394,0)+IFERROR(I394,0)+IFERROR(J394,0)+IFERROR(K394,0)+IFERROR(L394,0),0))</f>
        <v/>
      </c>
    </row>
    <row r="395">
      <c r="A395" s="10" t="n"/>
      <c r="B395" s="10" t="n"/>
      <c r="C395" s="11" t="n"/>
      <c r="D395" s="11" t="n"/>
      <c r="E395" s="10" t="n"/>
      <c r="F395" s="10" t="n"/>
      <c r="G395" s="12" t="n"/>
      <c r="H395" s="13" t="n"/>
      <c r="I395" s="13" t="n"/>
      <c r="J395" s="13" t="n"/>
      <c r="K395" s="13" t="n"/>
      <c r="L395" s="13" t="n"/>
      <c r="M395" s="14">
        <f>IFERROR(IF(A395="","",IFERROR(VLOOKUP(A395,Raw_PriorMonth!A:E,5,FALSE),0)),0)</f>
        <v/>
      </c>
      <c r="N395" s="14">
        <f>IF(A395="","",IFERROR(E395,0)+IFERROR(M395,0))</f>
        <v/>
      </c>
      <c r="O395" s="15">
        <f>IF(A395="","",IF(N395&gt;=28,TRUE,FALSE))</f>
        <v/>
      </c>
      <c r="P395" s="15">
        <f>IF(A395="","",OR(G395=TRUE,O395=TRUE))</f>
        <v/>
      </c>
      <c r="Q395" s="16">
        <f>IF(A395="","",IFERROR(H395,0)+IFERROR(I395,0)+IFERROR(J395,0)+IFERROR(K395,0)+IFERROR(L395,0))</f>
        <v/>
      </c>
      <c r="R395" s="16">
        <f>IF(A395="","",IF(P395=TRUE,0,Q395))</f>
        <v/>
      </c>
      <c r="S395" s="16">
        <f>IF(A395="","",IF(P395=TRUE,0,IFERROR(H395,0)))</f>
        <v/>
      </c>
      <c r="T395" s="16">
        <f>IF(A395="","",IF(P395=TRUE,0,IFERROR(I395,0)))</f>
        <v/>
      </c>
      <c r="U395" s="16">
        <f>IF(A395="","",IF(P395=TRUE,0,IFERROR(J395,0)))</f>
        <v/>
      </c>
      <c r="V395" s="16">
        <f>IF(A395="","",IF(P395=TRUE,0,IFERROR(K395,0)))</f>
        <v/>
      </c>
      <c r="W395" s="16">
        <f>IF(A395="","",IF(P395=TRUE,0,IFERROR(L395,0)))</f>
        <v/>
      </c>
      <c r="X395" s="16">
        <f>IF(A395="","",IF(P395=TRUE,0,IFERROR(H395,0)+IFERROR(I395,0)+IFERROR(L395,0)))</f>
        <v/>
      </c>
      <c r="Y395" s="16">
        <f>IF(A395="",0,IF(G395=TRUE,IFERROR(H395,0)+IFERROR(I395,0)+IFERROR(J395,0)+IFERROR(K395,0)+IFERROR(L395,0),0))</f>
        <v/>
      </c>
      <c r="Z395" s="16">
        <f>IF(A395="",0,IF(AND(O395=TRUE,G395&lt;&gt;TRUE),IFERROR(H395,0)+IFERROR(I395,0)+IFERROR(J395,0)+IFERROR(K395,0)+IFERROR(L395,0),0))</f>
        <v/>
      </c>
    </row>
    <row r="396">
      <c r="A396" s="10" t="n"/>
      <c r="B396" s="10" t="n"/>
      <c r="C396" s="11" t="n"/>
      <c r="D396" s="11" t="n"/>
      <c r="E396" s="10" t="n"/>
      <c r="F396" s="10" t="n"/>
      <c r="G396" s="12" t="n"/>
      <c r="H396" s="13" t="n"/>
      <c r="I396" s="13" t="n"/>
      <c r="J396" s="13" t="n"/>
      <c r="K396" s="13" t="n"/>
      <c r="L396" s="13" t="n"/>
      <c r="M396" s="14">
        <f>IFERROR(IF(A396="","",IFERROR(VLOOKUP(A396,Raw_PriorMonth!A:E,5,FALSE),0)),0)</f>
        <v/>
      </c>
      <c r="N396" s="14">
        <f>IF(A396="","",IFERROR(E396,0)+IFERROR(M396,0))</f>
        <v/>
      </c>
      <c r="O396" s="15">
        <f>IF(A396="","",IF(N396&gt;=28,TRUE,FALSE))</f>
        <v/>
      </c>
      <c r="P396" s="15">
        <f>IF(A396="","",OR(G396=TRUE,O396=TRUE))</f>
        <v/>
      </c>
      <c r="Q396" s="16">
        <f>IF(A396="","",IFERROR(H396,0)+IFERROR(I396,0)+IFERROR(J396,0)+IFERROR(K396,0)+IFERROR(L396,0))</f>
        <v/>
      </c>
      <c r="R396" s="16">
        <f>IF(A396="","",IF(P396=TRUE,0,Q396))</f>
        <v/>
      </c>
      <c r="S396" s="16">
        <f>IF(A396="","",IF(P396=TRUE,0,IFERROR(H396,0)))</f>
        <v/>
      </c>
      <c r="T396" s="16">
        <f>IF(A396="","",IF(P396=TRUE,0,IFERROR(I396,0)))</f>
        <v/>
      </c>
      <c r="U396" s="16">
        <f>IF(A396="","",IF(P396=TRUE,0,IFERROR(J396,0)))</f>
        <v/>
      </c>
      <c r="V396" s="16">
        <f>IF(A396="","",IF(P396=TRUE,0,IFERROR(K396,0)))</f>
        <v/>
      </c>
      <c r="W396" s="16">
        <f>IF(A396="","",IF(P396=TRUE,0,IFERROR(L396,0)))</f>
        <v/>
      </c>
      <c r="X396" s="16">
        <f>IF(A396="","",IF(P396=TRUE,0,IFERROR(H396,0)+IFERROR(I396,0)+IFERROR(L396,0)))</f>
        <v/>
      </c>
      <c r="Y396" s="16">
        <f>IF(A396="",0,IF(G396=TRUE,IFERROR(H396,0)+IFERROR(I396,0)+IFERROR(J396,0)+IFERROR(K396,0)+IFERROR(L396,0),0))</f>
        <v/>
      </c>
      <c r="Z396" s="16">
        <f>IF(A396="",0,IF(AND(O396=TRUE,G396&lt;&gt;TRUE),IFERROR(H396,0)+IFERROR(I396,0)+IFERROR(J396,0)+IFERROR(K396,0)+IFERROR(L396,0),0))</f>
        <v/>
      </c>
    </row>
    <row r="397">
      <c r="A397" s="10" t="n"/>
      <c r="B397" s="10" t="n"/>
      <c r="C397" s="11" t="n"/>
      <c r="D397" s="11" t="n"/>
      <c r="E397" s="10" t="n"/>
      <c r="F397" s="10" t="n"/>
      <c r="G397" s="12" t="n"/>
      <c r="H397" s="13" t="n"/>
      <c r="I397" s="13" t="n"/>
      <c r="J397" s="13" t="n"/>
      <c r="K397" s="13" t="n"/>
      <c r="L397" s="13" t="n"/>
      <c r="M397" s="14">
        <f>IFERROR(IF(A397="","",IFERROR(VLOOKUP(A397,Raw_PriorMonth!A:E,5,FALSE),0)),0)</f>
        <v/>
      </c>
      <c r="N397" s="14">
        <f>IF(A397="","",IFERROR(E397,0)+IFERROR(M397,0))</f>
        <v/>
      </c>
      <c r="O397" s="15">
        <f>IF(A397="","",IF(N397&gt;=28,TRUE,FALSE))</f>
        <v/>
      </c>
      <c r="P397" s="15">
        <f>IF(A397="","",OR(G397=TRUE,O397=TRUE))</f>
        <v/>
      </c>
      <c r="Q397" s="16">
        <f>IF(A397="","",IFERROR(H397,0)+IFERROR(I397,0)+IFERROR(J397,0)+IFERROR(K397,0)+IFERROR(L397,0))</f>
        <v/>
      </c>
      <c r="R397" s="16">
        <f>IF(A397="","",IF(P397=TRUE,0,Q397))</f>
        <v/>
      </c>
      <c r="S397" s="16">
        <f>IF(A397="","",IF(P397=TRUE,0,IFERROR(H397,0)))</f>
        <v/>
      </c>
      <c r="T397" s="16">
        <f>IF(A397="","",IF(P397=TRUE,0,IFERROR(I397,0)))</f>
        <v/>
      </c>
      <c r="U397" s="16">
        <f>IF(A397="","",IF(P397=TRUE,0,IFERROR(J397,0)))</f>
        <v/>
      </c>
      <c r="V397" s="16">
        <f>IF(A397="","",IF(P397=TRUE,0,IFERROR(K397,0)))</f>
        <v/>
      </c>
      <c r="W397" s="16">
        <f>IF(A397="","",IF(P397=TRUE,0,IFERROR(L397,0)))</f>
        <v/>
      </c>
      <c r="X397" s="16">
        <f>IF(A397="","",IF(P397=TRUE,0,IFERROR(H397,0)+IFERROR(I397,0)+IFERROR(L397,0)))</f>
        <v/>
      </c>
      <c r="Y397" s="16">
        <f>IF(A397="",0,IF(G397=TRUE,IFERROR(H397,0)+IFERROR(I397,0)+IFERROR(J397,0)+IFERROR(K397,0)+IFERROR(L397,0),0))</f>
        <v/>
      </c>
      <c r="Z397" s="16">
        <f>IF(A397="",0,IF(AND(O397=TRUE,G397&lt;&gt;TRUE),IFERROR(H397,0)+IFERROR(I397,0)+IFERROR(J397,0)+IFERROR(K397,0)+IFERROR(L397,0),0))</f>
        <v/>
      </c>
    </row>
    <row r="398">
      <c r="A398" s="10" t="n"/>
      <c r="B398" s="10" t="n"/>
      <c r="C398" s="11" t="n"/>
      <c r="D398" s="11" t="n"/>
      <c r="E398" s="10" t="n"/>
      <c r="F398" s="10" t="n"/>
      <c r="G398" s="12" t="n"/>
      <c r="H398" s="13" t="n"/>
      <c r="I398" s="13" t="n"/>
      <c r="J398" s="13" t="n"/>
      <c r="K398" s="13" t="n"/>
      <c r="L398" s="13" t="n"/>
      <c r="M398" s="14">
        <f>IFERROR(IF(A398="","",IFERROR(VLOOKUP(A398,Raw_PriorMonth!A:E,5,FALSE),0)),0)</f>
        <v/>
      </c>
      <c r="N398" s="14">
        <f>IF(A398="","",IFERROR(E398,0)+IFERROR(M398,0))</f>
        <v/>
      </c>
      <c r="O398" s="15">
        <f>IF(A398="","",IF(N398&gt;=28,TRUE,FALSE))</f>
        <v/>
      </c>
      <c r="P398" s="15">
        <f>IF(A398="","",OR(G398=TRUE,O398=TRUE))</f>
        <v/>
      </c>
      <c r="Q398" s="16">
        <f>IF(A398="","",IFERROR(H398,0)+IFERROR(I398,0)+IFERROR(J398,0)+IFERROR(K398,0)+IFERROR(L398,0))</f>
        <v/>
      </c>
      <c r="R398" s="16">
        <f>IF(A398="","",IF(P398=TRUE,0,Q398))</f>
        <v/>
      </c>
      <c r="S398" s="16">
        <f>IF(A398="","",IF(P398=TRUE,0,IFERROR(H398,0)))</f>
        <v/>
      </c>
      <c r="T398" s="16">
        <f>IF(A398="","",IF(P398=TRUE,0,IFERROR(I398,0)))</f>
        <v/>
      </c>
      <c r="U398" s="16">
        <f>IF(A398="","",IF(P398=TRUE,0,IFERROR(J398,0)))</f>
        <v/>
      </c>
      <c r="V398" s="16">
        <f>IF(A398="","",IF(P398=TRUE,0,IFERROR(K398,0)))</f>
        <v/>
      </c>
      <c r="W398" s="16">
        <f>IF(A398="","",IF(P398=TRUE,0,IFERROR(L398,0)))</f>
        <v/>
      </c>
      <c r="X398" s="16">
        <f>IF(A398="","",IF(P398=TRUE,0,IFERROR(H398,0)+IFERROR(I398,0)+IFERROR(L398,0)))</f>
        <v/>
      </c>
      <c r="Y398" s="16">
        <f>IF(A398="",0,IF(G398=TRUE,IFERROR(H398,0)+IFERROR(I398,0)+IFERROR(J398,0)+IFERROR(K398,0)+IFERROR(L398,0),0))</f>
        <v/>
      </c>
      <c r="Z398" s="16">
        <f>IF(A398="",0,IF(AND(O398=TRUE,G398&lt;&gt;TRUE),IFERROR(H398,0)+IFERROR(I398,0)+IFERROR(J398,0)+IFERROR(K398,0)+IFERROR(L398,0),0))</f>
        <v/>
      </c>
    </row>
    <row r="399">
      <c r="A399" s="10" t="n"/>
      <c r="B399" s="10" t="n"/>
      <c r="C399" s="11" t="n"/>
      <c r="D399" s="11" t="n"/>
      <c r="E399" s="10" t="n"/>
      <c r="F399" s="10" t="n"/>
      <c r="G399" s="12" t="n"/>
      <c r="H399" s="13" t="n"/>
      <c r="I399" s="13" t="n"/>
      <c r="J399" s="13" t="n"/>
      <c r="K399" s="13" t="n"/>
      <c r="L399" s="13" t="n"/>
      <c r="M399" s="14">
        <f>IFERROR(IF(A399="","",IFERROR(VLOOKUP(A399,Raw_PriorMonth!A:E,5,FALSE),0)),0)</f>
        <v/>
      </c>
      <c r="N399" s="14">
        <f>IF(A399="","",IFERROR(E399,0)+IFERROR(M399,0))</f>
        <v/>
      </c>
      <c r="O399" s="15">
        <f>IF(A399="","",IF(N399&gt;=28,TRUE,FALSE))</f>
        <v/>
      </c>
      <c r="P399" s="15">
        <f>IF(A399="","",OR(G399=TRUE,O399=TRUE))</f>
        <v/>
      </c>
      <c r="Q399" s="16">
        <f>IF(A399="","",IFERROR(H399,0)+IFERROR(I399,0)+IFERROR(J399,0)+IFERROR(K399,0)+IFERROR(L399,0))</f>
        <v/>
      </c>
      <c r="R399" s="16">
        <f>IF(A399="","",IF(P399=TRUE,0,Q399))</f>
        <v/>
      </c>
      <c r="S399" s="16">
        <f>IF(A399="","",IF(P399=TRUE,0,IFERROR(H399,0)))</f>
        <v/>
      </c>
      <c r="T399" s="16">
        <f>IF(A399="","",IF(P399=TRUE,0,IFERROR(I399,0)))</f>
        <v/>
      </c>
      <c r="U399" s="16">
        <f>IF(A399="","",IF(P399=TRUE,0,IFERROR(J399,0)))</f>
        <v/>
      </c>
      <c r="V399" s="16">
        <f>IF(A399="","",IF(P399=TRUE,0,IFERROR(K399,0)))</f>
        <v/>
      </c>
      <c r="W399" s="16">
        <f>IF(A399="","",IF(P399=TRUE,0,IFERROR(L399,0)))</f>
        <v/>
      </c>
      <c r="X399" s="16">
        <f>IF(A399="","",IF(P399=TRUE,0,IFERROR(H399,0)+IFERROR(I399,0)+IFERROR(L399,0)))</f>
        <v/>
      </c>
      <c r="Y399" s="16">
        <f>IF(A399="",0,IF(G399=TRUE,IFERROR(H399,0)+IFERROR(I399,0)+IFERROR(J399,0)+IFERROR(K399,0)+IFERROR(L399,0),0))</f>
        <v/>
      </c>
      <c r="Z399" s="16">
        <f>IF(A399="",0,IF(AND(O399=TRUE,G399&lt;&gt;TRUE),IFERROR(H399,0)+IFERROR(I399,0)+IFERROR(J399,0)+IFERROR(K399,0)+IFERROR(L399,0),0))</f>
        <v/>
      </c>
    </row>
    <row r="400">
      <c r="A400" s="10" t="n"/>
      <c r="B400" s="10" t="n"/>
      <c r="C400" s="11" t="n"/>
      <c r="D400" s="11" t="n"/>
      <c r="E400" s="10" t="n"/>
      <c r="F400" s="10" t="n"/>
      <c r="G400" s="12" t="n"/>
      <c r="H400" s="13" t="n"/>
      <c r="I400" s="13" t="n"/>
      <c r="J400" s="13" t="n"/>
      <c r="K400" s="13" t="n"/>
      <c r="L400" s="13" t="n"/>
      <c r="M400" s="14">
        <f>IFERROR(IF(A400="","",IFERROR(VLOOKUP(A400,Raw_PriorMonth!A:E,5,FALSE),0)),0)</f>
        <v/>
      </c>
      <c r="N400" s="14">
        <f>IF(A400="","",IFERROR(E400,0)+IFERROR(M400,0))</f>
        <v/>
      </c>
      <c r="O400" s="15">
        <f>IF(A400="","",IF(N400&gt;=28,TRUE,FALSE))</f>
        <v/>
      </c>
      <c r="P400" s="15">
        <f>IF(A400="","",OR(G400=TRUE,O400=TRUE))</f>
        <v/>
      </c>
      <c r="Q400" s="16">
        <f>IF(A400="","",IFERROR(H400,0)+IFERROR(I400,0)+IFERROR(J400,0)+IFERROR(K400,0)+IFERROR(L400,0))</f>
        <v/>
      </c>
      <c r="R400" s="16">
        <f>IF(A400="","",IF(P400=TRUE,0,Q400))</f>
        <v/>
      </c>
      <c r="S400" s="16">
        <f>IF(A400="","",IF(P400=TRUE,0,IFERROR(H400,0)))</f>
        <v/>
      </c>
      <c r="T400" s="16">
        <f>IF(A400="","",IF(P400=TRUE,0,IFERROR(I400,0)))</f>
        <v/>
      </c>
      <c r="U400" s="16">
        <f>IF(A400="","",IF(P400=TRUE,0,IFERROR(J400,0)))</f>
        <v/>
      </c>
      <c r="V400" s="16">
        <f>IF(A400="","",IF(P400=TRUE,0,IFERROR(K400,0)))</f>
        <v/>
      </c>
      <c r="W400" s="16">
        <f>IF(A400="","",IF(P400=TRUE,0,IFERROR(L400,0)))</f>
        <v/>
      </c>
      <c r="X400" s="16">
        <f>IF(A400="","",IF(P400=TRUE,0,IFERROR(H400,0)+IFERROR(I400,0)+IFERROR(L400,0)))</f>
        <v/>
      </c>
      <c r="Y400" s="16">
        <f>IF(A400="",0,IF(G400=TRUE,IFERROR(H400,0)+IFERROR(I400,0)+IFERROR(J400,0)+IFERROR(K400,0)+IFERROR(L400,0),0))</f>
        <v/>
      </c>
      <c r="Z400" s="16">
        <f>IF(A400="",0,IF(AND(O400=TRUE,G400&lt;&gt;TRUE),IFERROR(H400,0)+IFERROR(I400,0)+IFERROR(J400,0)+IFERROR(K400,0)+IFERROR(L400,0),0))</f>
        <v/>
      </c>
    </row>
    <row r="401">
      <c r="A401" s="10" t="n"/>
      <c r="B401" s="10" t="n"/>
      <c r="C401" s="11" t="n"/>
      <c r="D401" s="11" t="n"/>
      <c r="E401" s="10" t="n"/>
      <c r="F401" s="10" t="n"/>
      <c r="G401" s="12" t="n"/>
      <c r="H401" s="13" t="n"/>
      <c r="I401" s="13" t="n"/>
      <c r="J401" s="13" t="n"/>
      <c r="K401" s="13" t="n"/>
      <c r="L401" s="13" t="n"/>
      <c r="M401" s="14">
        <f>IFERROR(IF(A401="","",IFERROR(VLOOKUP(A401,Raw_PriorMonth!A:E,5,FALSE),0)),0)</f>
        <v/>
      </c>
      <c r="N401" s="14">
        <f>IF(A401="","",IFERROR(E401,0)+IFERROR(M401,0))</f>
        <v/>
      </c>
      <c r="O401" s="15">
        <f>IF(A401="","",IF(N401&gt;=28,TRUE,FALSE))</f>
        <v/>
      </c>
      <c r="P401" s="15">
        <f>IF(A401="","",OR(G401=TRUE,O401=TRUE))</f>
        <v/>
      </c>
      <c r="Q401" s="16">
        <f>IF(A401="","",IFERROR(H401,0)+IFERROR(I401,0)+IFERROR(J401,0)+IFERROR(K401,0)+IFERROR(L401,0))</f>
        <v/>
      </c>
      <c r="R401" s="16">
        <f>IF(A401="","",IF(P401=TRUE,0,Q401))</f>
        <v/>
      </c>
      <c r="S401" s="16">
        <f>IF(A401="","",IF(P401=TRUE,0,IFERROR(H401,0)))</f>
        <v/>
      </c>
      <c r="T401" s="16">
        <f>IF(A401="","",IF(P401=TRUE,0,IFERROR(I401,0)))</f>
        <v/>
      </c>
      <c r="U401" s="16">
        <f>IF(A401="","",IF(P401=TRUE,0,IFERROR(J401,0)))</f>
        <v/>
      </c>
      <c r="V401" s="16">
        <f>IF(A401="","",IF(P401=TRUE,0,IFERROR(K401,0)))</f>
        <v/>
      </c>
      <c r="W401" s="16">
        <f>IF(A401="","",IF(P401=TRUE,0,IFERROR(L401,0)))</f>
        <v/>
      </c>
      <c r="X401" s="16">
        <f>IF(A401="","",IF(P401=TRUE,0,IFERROR(H401,0)+IFERROR(I401,0)+IFERROR(L401,0)))</f>
        <v/>
      </c>
      <c r="Y401" s="16">
        <f>IF(A401="",0,IF(G401=TRUE,IFERROR(H401,0)+IFERROR(I401,0)+IFERROR(J401,0)+IFERROR(K401,0)+IFERROR(L401,0),0))</f>
        <v/>
      </c>
      <c r="Z401" s="16">
        <f>IF(A401="",0,IF(AND(O401=TRUE,G401&lt;&gt;TRUE),IFERROR(H401,0)+IFERROR(I401,0)+IFERROR(J401,0)+IFERROR(K401,0)+IFERROR(L401,0),0))</f>
        <v/>
      </c>
    </row>
    <row r="402">
      <c r="A402" s="10" t="n"/>
      <c r="B402" s="10" t="n"/>
      <c r="C402" s="11" t="n"/>
      <c r="D402" s="11" t="n"/>
      <c r="E402" s="10" t="n"/>
      <c r="F402" s="10" t="n"/>
      <c r="G402" s="12" t="n"/>
      <c r="H402" s="13" t="n"/>
      <c r="I402" s="13" t="n"/>
      <c r="J402" s="13" t="n"/>
      <c r="K402" s="13" t="n"/>
      <c r="L402" s="13" t="n"/>
      <c r="M402" s="14">
        <f>IFERROR(IF(A402="","",IFERROR(VLOOKUP(A402,Raw_PriorMonth!A:E,5,FALSE),0)),0)</f>
        <v/>
      </c>
      <c r="N402" s="14">
        <f>IF(A402="","",IFERROR(E402,0)+IFERROR(M402,0))</f>
        <v/>
      </c>
      <c r="O402" s="15">
        <f>IF(A402="","",IF(N402&gt;=28,TRUE,FALSE))</f>
        <v/>
      </c>
      <c r="P402" s="15">
        <f>IF(A402="","",OR(G402=TRUE,O402=TRUE))</f>
        <v/>
      </c>
      <c r="Q402" s="16">
        <f>IF(A402="","",IFERROR(H402,0)+IFERROR(I402,0)+IFERROR(J402,0)+IFERROR(K402,0)+IFERROR(L402,0))</f>
        <v/>
      </c>
      <c r="R402" s="16">
        <f>IF(A402="","",IF(P402=TRUE,0,Q402))</f>
        <v/>
      </c>
      <c r="S402" s="16">
        <f>IF(A402="","",IF(P402=TRUE,0,IFERROR(H402,0)))</f>
        <v/>
      </c>
      <c r="T402" s="16">
        <f>IF(A402="","",IF(P402=TRUE,0,IFERROR(I402,0)))</f>
        <v/>
      </c>
      <c r="U402" s="16">
        <f>IF(A402="","",IF(P402=TRUE,0,IFERROR(J402,0)))</f>
        <v/>
      </c>
      <c r="V402" s="16">
        <f>IF(A402="","",IF(P402=TRUE,0,IFERROR(K402,0)))</f>
        <v/>
      </c>
      <c r="W402" s="16">
        <f>IF(A402="","",IF(P402=TRUE,0,IFERROR(L402,0)))</f>
        <v/>
      </c>
      <c r="X402" s="16">
        <f>IF(A402="","",IF(P402=TRUE,0,IFERROR(H402,0)+IFERROR(I402,0)+IFERROR(L402,0)))</f>
        <v/>
      </c>
      <c r="Y402" s="16">
        <f>IF(A402="",0,IF(G402=TRUE,IFERROR(H402,0)+IFERROR(I402,0)+IFERROR(J402,0)+IFERROR(K402,0)+IFERROR(L402,0),0))</f>
        <v/>
      </c>
      <c r="Z402" s="16">
        <f>IF(A402="",0,IF(AND(O402=TRUE,G402&lt;&gt;TRUE),IFERROR(H402,0)+IFERROR(I402,0)+IFERROR(J402,0)+IFERROR(K402,0)+IFERROR(L402,0),0))</f>
        <v/>
      </c>
    </row>
    <row r="403">
      <c r="A403" s="10" t="n"/>
      <c r="B403" s="10" t="n"/>
      <c r="C403" s="11" t="n"/>
      <c r="D403" s="11" t="n"/>
      <c r="E403" s="10" t="n"/>
      <c r="F403" s="10" t="n"/>
      <c r="G403" s="12" t="n"/>
      <c r="H403" s="13" t="n"/>
      <c r="I403" s="13" t="n"/>
      <c r="J403" s="13" t="n"/>
      <c r="K403" s="13" t="n"/>
      <c r="L403" s="13" t="n"/>
      <c r="M403" s="14">
        <f>IFERROR(IF(A403="","",IFERROR(VLOOKUP(A403,Raw_PriorMonth!A:E,5,FALSE),0)),0)</f>
        <v/>
      </c>
      <c r="N403" s="14">
        <f>IF(A403="","",IFERROR(E403,0)+IFERROR(M403,0))</f>
        <v/>
      </c>
      <c r="O403" s="15">
        <f>IF(A403="","",IF(N403&gt;=28,TRUE,FALSE))</f>
        <v/>
      </c>
      <c r="P403" s="15">
        <f>IF(A403="","",OR(G403=TRUE,O403=TRUE))</f>
        <v/>
      </c>
      <c r="Q403" s="16">
        <f>IF(A403="","",IFERROR(H403,0)+IFERROR(I403,0)+IFERROR(J403,0)+IFERROR(K403,0)+IFERROR(L403,0))</f>
        <v/>
      </c>
      <c r="R403" s="16">
        <f>IF(A403="","",IF(P403=TRUE,0,Q403))</f>
        <v/>
      </c>
      <c r="S403" s="16">
        <f>IF(A403="","",IF(P403=TRUE,0,IFERROR(H403,0)))</f>
        <v/>
      </c>
      <c r="T403" s="16">
        <f>IF(A403="","",IF(P403=TRUE,0,IFERROR(I403,0)))</f>
        <v/>
      </c>
      <c r="U403" s="16">
        <f>IF(A403="","",IF(P403=TRUE,0,IFERROR(J403,0)))</f>
        <v/>
      </c>
      <c r="V403" s="16">
        <f>IF(A403="","",IF(P403=TRUE,0,IFERROR(K403,0)))</f>
        <v/>
      </c>
      <c r="W403" s="16">
        <f>IF(A403="","",IF(P403=TRUE,0,IFERROR(L403,0)))</f>
        <v/>
      </c>
      <c r="X403" s="16">
        <f>IF(A403="","",IF(P403=TRUE,0,IFERROR(H403,0)+IFERROR(I403,0)+IFERROR(L403,0)))</f>
        <v/>
      </c>
      <c r="Y403" s="16">
        <f>IF(A403="",0,IF(G403=TRUE,IFERROR(H403,0)+IFERROR(I403,0)+IFERROR(J403,0)+IFERROR(K403,0)+IFERROR(L403,0),0))</f>
        <v/>
      </c>
      <c r="Z403" s="16">
        <f>IF(A403="",0,IF(AND(O403=TRUE,G403&lt;&gt;TRUE),IFERROR(H403,0)+IFERROR(I403,0)+IFERROR(J403,0)+IFERROR(K403,0)+IFERROR(L403,0),0))</f>
        <v/>
      </c>
    </row>
    <row r="404">
      <c r="A404" s="10" t="n"/>
      <c r="B404" s="10" t="n"/>
      <c r="C404" s="11" t="n"/>
      <c r="D404" s="11" t="n"/>
      <c r="E404" s="10" t="n"/>
      <c r="F404" s="10" t="n"/>
      <c r="G404" s="12" t="n"/>
      <c r="H404" s="13" t="n"/>
      <c r="I404" s="13" t="n"/>
      <c r="J404" s="13" t="n"/>
      <c r="K404" s="13" t="n"/>
      <c r="L404" s="13" t="n"/>
      <c r="M404" s="14">
        <f>IFERROR(IF(A404="","",IFERROR(VLOOKUP(A404,Raw_PriorMonth!A:E,5,FALSE),0)),0)</f>
        <v/>
      </c>
      <c r="N404" s="14">
        <f>IF(A404="","",IFERROR(E404,0)+IFERROR(M404,0))</f>
        <v/>
      </c>
      <c r="O404" s="15">
        <f>IF(A404="","",IF(N404&gt;=28,TRUE,FALSE))</f>
        <v/>
      </c>
      <c r="P404" s="15">
        <f>IF(A404="","",OR(G404=TRUE,O404=TRUE))</f>
        <v/>
      </c>
      <c r="Q404" s="16">
        <f>IF(A404="","",IFERROR(H404,0)+IFERROR(I404,0)+IFERROR(J404,0)+IFERROR(K404,0)+IFERROR(L404,0))</f>
        <v/>
      </c>
      <c r="R404" s="16">
        <f>IF(A404="","",IF(P404=TRUE,0,Q404))</f>
        <v/>
      </c>
      <c r="S404" s="16">
        <f>IF(A404="","",IF(P404=TRUE,0,IFERROR(H404,0)))</f>
        <v/>
      </c>
      <c r="T404" s="16">
        <f>IF(A404="","",IF(P404=TRUE,0,IFERROR(I404,0)))</f>
        <v/>
      </c>
      <c r="U404" s="16">
        <f>IF(A404="","",IF(P404=TRUE,0,IFERROR(J404,0)))</f>
        <v/>
      </c>
      <c r="V404" s="16">
        <f>IF(A404="","",IF(P404=TRUE,0,IFERROR(K404,0)))</f>
        <v/>
      </c>
      <c r="W404" s="16">
        <f>IF(A404="","",IF(P404=TRUE,0,IFERROR(L404,0)))</f>
        <v/>
      </c>
      <c r="X404" s="16">
        <f>IF(A404="","",IF(P404=TRUE,0,IFERROR(H404,0)+IFERROR(I404,0)+IFERROR(L404,0)))</f>
        <v/>
      </c>
      <c r="Y404" s="16">
        <f>IF(A404="",0,IF(G404=TRUE,IFERROR(H404,0)+IFERROR(I404,0)+IFERROR(J404,0)+IFERROR(K404,0)+IFERROR(L404,0),0))</f>
        <v/>
      </c>
      <c r="Z404" s="16">
        <f>IF(A404="",0,IF(AND(O404=TRUE,G404&lt;&gt;TRUE),IFERROR(H404,0)+IFERROR(I404,0)+IFERROR(J404,0)+IFERROR(K404,0)+IFERROR(L404,0),0))</f>
        <v/>
      </c>
    </row>
    <row r="405">
      <c r="A405" s="10" t="n"/>
      <c r="B405" s="10" t="n"/>
      <c r="C405" s="11" t="n"/>
      <c r="D405" s="11" t="n"/>
      <c r="E405" s="10" t="n"/>
      <c r="F405" s="10" t="n"/>
      <c r="G405" s="12" t="n"/>
      <c r="H405" s="13" t="n"/>
      <c r="I405" s="13" t="n"/>
      <c r="J405" s="13" t="n"/>
      <c r="K405" s="13" t="n"/>
      <c r="L405" s="13" t="n"/>
      <c r="M405" s="14">
        <f>IFERROR(IF(A405="","",IFERROR(VLOOKUP(A405,Raw_PriorMonth!A:E,5,FALSE),0)),0)</f>
        <v/>
      </c>
      <c r="N405" s="14">
        <f>IF(A405="","",IFERROR(E405,0)+IFERROR(M405,0))</f>
        <v/>
      </c>
      <c r="O405" s="15">
        <f>IF(A405="","",IF(N405&gt;=28,TRUE,FALSE))</f>
        <v/>
      </c>
      <c r="P405" s="15">
        <f>IF(A405="","",OR(G405=TRUE,O405=TRUE))</f>
        <v/>
      </c>
      <c r="Q405" s="16">
        <f>IF(A405="","",IFERROR(H405,0)+IFERROR(I405,0)+IFERROR(J405,0)+IFERROR(K405,0)+IFERROR(L405,0))</f>
        <v/>
      </c>
      <c r="R405" s="16">
        <f>IF(A405="","",IF(P405=TRUE,0,Q405))</f>
        <v/>
      </c>
      <c r="S405" s="16">
        <f>IF(A405="","",IF(P405=TRUE,0,IFERROR(H405,0)))</f>
        <v/>
      </c>
      <c r="T405" s="16">
        <f>IF(A405="","",IF(P405=TRUE,0,IFERROR(I405,0)))</f>
        <v/>
      </c>
      <c r="U405" s="16">
        <f>IF(A405="","",IF(P405=TRUE,0,IFERROR(J405,0)))</f>
        <v/>
      </c>
      <c r="V405" s="16">
        <f>IF(A405="","",IF(P405=TRUE,0,IFERROR(K405,0)))</f>
        <v/>
      </c>
      <c r="W405" s="16">
        <f>IF(A405="","",IF(P405=TRUE,0,IFERROR(L405,0)))</f>
        <v/>
      </c>
      <c r="X405" s="16">
        <f>IF(A405="","",IF(P405=TRUE,0,IFERROR(H405,0)+IFERROR(I405,0)+IFERROR(L405,0)))</f>
        <v/>
      </c>
      <c r="Y405" s="16">
        <f>IF(A405="",0,IF(G405=TRUE,IFERROR(H405,0)+IFERROR(I405,0)+IFERROR(J405,0)+IFERROR(K405,0)+IFERROR(L405,0),0))</f>
        <v/>
      </c>
      <c r="Z405" s="16">
        <f>IF(A405="",0,IF(AND(O405=TRUE,G405&lt;&gt;TRUE),IFERROR(H405,0)+IFERROR(I405,0)+IFERROR(J405,0)+IFERROR(K405,0)+IFERROR(L405,0),0))</f>
        <v/>
      </c>
    </row>
    <row r="406">
      <c r="A406" s="10" t="n"/>
      <c r="B406" s="10" t="n"/>
      <c r="C406" s="11" t="n"/>
      <c r="D406" s="11" t="n"/>
      <c r="E406" s="10" t="n"/>
      <c r="F406" s="10" t="n"/>
      <c r="G406" s="12" t="n"/>
      <c r="H406" s="13" t="n"/>
      <c r="I406" s="13" t="n"/>
      <c r="J406" s="13" t="n"/>
      <c r="K406" s="13" t="n"/>
      <c r="L406" s="13" t="n"/>
      <c r="M406" s="14">
        <f>IFERROR(IF(A406="","",IFERROR(VLOOKUP(A406,Raw_PriorMonth!A:E,5,FALSE),0)),0)</f>
        <v/>
      </c>
      <c r="N406" s="14">
        <f>IF(A406="","",IFERROR(E406,0)+IFERROR(M406,0))</f>
        <v/>
      </c>
      <c r="O406" s="15">
        <f>IF(A406="","",IF(N406&gt;=28,TRUE,FALSE))</f>
        <v/>
      </c>
      <c r="P406" s="15">
        <f>IF(A406="","",OR(G406=TRUE,O406=TRUE))</f>
        <v/>
      </c>
      <c r="Q406" s="16">
        <f>IF(A406="","",IFERROR(H406,0)+IFERROR(I406,0)+IFERROR(J406,0)+IFERROR(K406,0)+IFERROR(L406,0))</f>
        <v/>
      </c>
      <c r="R406" s="16">
        <f>IF(A406="","",IF(P406=TRUE,0,Q406))</f>
        <v/>
      </c>
      <c r="S406" s="16">
        <f>IF(A406="","",IF(P406=TRUE,0,IFERROR(H406,0)))</f>
        <v/>
      </c>
      <c r="T406" s="16">
        <f>IF(A406="","",IF(P406=TRUE,0,IFERROR(I406,0)))</f>
        <v/>
      </c>
      <c r="U406" s="16">
        <f>IF(A406="","",IF(P406=TRUE,0,IFERROR(J406,0)))</f>
        <v/>
      </c>
      <c r="V406" s="16">
        <f>IF(A406="","",IF(P406=TRUE,0,IFERROR(K406,0)))</f>
        <v/>
      </c>
      <c r="W406" s="16">
        <f>IF(A406="","",IF(P406=TRUE,0,IFERROR(L406,0)))</f>
        <v/>
      </c>
      <c r="X406" s="16">
        <f>IF(A406="","",IF(P406=TRUE,0,IFERROR(H406,0)+IFERROR(I406,0)+IFERROR(L406,0)))</f>
        <v/>
      </c>
      <c r="Y406" s="16">
        <f>IF(A406="",0,IF(G406=TRUE,IFERROR(H406,0)+IFERROR(I406,0)+IFERROR(J406,0)+IFERROR(K406,0)+IFERROR(L406,0),0))</f>
        <v/>
      </c>
      <c r="Z406" s="16">
        <f>IF(A406="",0,IF(AND(O406=TRUE,G406&lt;&gt;TRUE),IFERROR(H406,0)+IFERROR(I406,0)+IFERROR(J406,0)+IFERROR(K406,0)+IFERROR(L406,0),0))</f>
        <v/>
      </c>
    </row>
    <row r="407">
      <c r="A407" s="10" t="n"/>
      <c r="B407" s="10" t="n"/>
      <c r="C407" s="11" t="n"/>
      <c r="D407" s="11" t="n"/>
      <c r="E407" s="10" t="n"/>
      <c r="F407" s="10" t="n"/>
      <c r="G407" s="12" t="n"/>
      <c r="H407" s="13" t="n"/>
      <c r="I407" s="13" t="n"/>
      <c r="J407" s="13" t="n"/>
      <c r="K407" s="13" t="n"/>
      <c r="L407" s="13" t="n"/>
      <c r="M407" s="14">
        <f>IFERROR(IF(A407="","",IFERROR(VLOOKUP(A407,Raw_PriorMonth!A:E,5,FALSE),0)),0)</f>
        <v/>
      </c>
      <c r="N407" s="14">
        <f>IF(A407="","",IFERROR(E407,0)+IFERROR(M407,0))</f>
        <v/>
      </c>
      <c r="O407" s="15">
        <f>IF(A407="","",IF(N407&gt;=28,TRUE,FALSE))</f>
        <v/>
      </c>
      <c r="P407" s="15">
        <f>IF(A407="","",OR(G407=TRUE,O407=TRUE))</f>
        <v/>
      </c>
      <c r="Q407" s="16">
        <f>IF(A407="","",IFERROR(H407,0)+IFERROR(I407,0)+IFERROR(J407,0)+IFERROR(K407,0)+IFERROR(L407,0))</f>
        <v/>
      </c>
      <c r="R407" s="16">
        <f>IF(A407="","",IF(P407=TRUE,0,Q407))</f>
        <v/>
      </c>
      <c r="S407" s="16">
        <f>IF(A407="","",IF(P407=TRUE,0,IFERROR(H407,0)))</f>
        <v/>
      </c>
      <c r="T407" s="16">
        <f>IF(A407="","",IF(P407=TRUE,0,IFERROR(I407,0)))</f>
        <v/>
      </c>
      <c r="U407" s="16">
        <f>IF(A407="","",IF(P407=TRUE,0,IFERROR(J407,0)))</f>
        <v/>
      </c>
      <c r="V407" s="16">
        <f>IF(A407="","",IF(P407=TRUE,0,IFERROR(K407,0)))</f>
        <v/>
      </c>
      <c r="W407" s="16">
        <f>IF(A407="","",IF(P407=TRUE,0,IFERROR(L407,0)))</f>
        <v/>
      </c>
      <c r="X407" s="16">
        <f>IF(A407="","",IF(P407=TRUE,0,IFERROR(H407,0)+IFERROR(I407,0)+IFERROR(L407,0)))</f>
        <v/>
      </c>
      <c r="Y407" s="16">
        <f>IF(A407="",0,IF(G407=TRUE,IFERROR(H407,0)+IFERROR(I407,0)+IFERROR(J407,0)+IFERROR(K407,0)+IFERROR(L407,0),0))</f>
        <v/>
      </c>
      <c r="Z407" s="16">
        <f>IF(A407="",0,IF(AND(O407=TRUE,G407&lt;&gt;TRUE),IFERROR(H407,0)+IFERROR(I407,0)+IFERROR(J407,0)+IFERROR(K407,0)+IFERROR(L407,0),0))</f>
        <v/>
      </c>
    </row>
    <row r="408">
      <c r="A408" s="10" t="n"/>
      <c r="B408" s="10" t="n"/>
      <c r="C408" s="11" t="n"/>
      <c r="D408" s="11" t="n"/>
      <c r="E408" s="10" t="n"/>
      <c r="F408" s="10" t="n"/>
      <c r="G408" s="12" t="n"/>
      <c r="H408" s="13" t="n"/>
      <c r="I408" s="13" t="n"/>
      <c r="J408" s="13" t="n"/>
      <c r="K408" s="13" t="n"/>
      <c r="L408" s="13" t="n"/>
      <c r="M408" s="14">
        <f>IFERROR(IF(A408="","",IFERROR(VLOOKUP(A408,Raw_PriorMonth!A:E,5,FALSE),0)),0)</f>
        <v/>
      </c>
      <c r="N408" s="14">
        <f>IF(A408="","",IFERROR(E408,0)+IFERROR(M408,0))</f>
        <v/>
      </c>
      <c r="O408" s="15">
        <f>IF(A408="","",IF(N408&gt;=28,TRUE,FALSE))</f>
        <v/>
      </c>
      <c r="P408" s="15">
        <f>IF(A408="","",OR(G408=TRUE,O408=TRUE))</f>
        <v/>
      </c>
      <c r="Q408" s="16">
        <f>IF(A408="","",IFERROR(H408,0)+IFERROR(I408,0)+IFERROR(J408,0)+IFERROR(K408,0)+IFERROR(L408,0))</f>
        <v/>
      </c>
      <c r="R408" s="16">
        <f>IF(A408="","",IF(P408=TRUE,0,Q408))</f>
        <v/>
      </c>
      <c r="S408" s="16">
        <f>IF(A408="","",IF(P408=TRUE,0,IFERROR(H408,0)))</f>
        <v/>
      </c>
      <c r="T408" s="16">
        <f>IF(A408="","",IF(P408=TRUE,0,IFERROR(I408,0)))</f>
        <v/>
      </c>
      <c r="U408" s="16">
        <f>IF(A408="","",IF(P408=TRUE,0,IFERROR(J408,0)))</f>
        <v/>
      </c>
      <c r="V408" s="16">
        <f>IF(A408="","",IF(P408=TRUE,0,IFERROR(K408,0)))</f>
        <v/>
      </c>
      <c r="W408" s="16">
        <f>IF(A408="","",IF(P408=TRUE,0,IFERROR(L408,0)))</f>
        <v/>
      </c>
      <c r="X408" s="16">
        <f>IF(A408="","",IF(P408=TRUE,0,IFERROR(H408,0)+IFERROR(I408,0)+IFERROR(L408,0)))</f>
        <v/>
      </c>
      <c r="Y408" s="16">
        <f>IF(A408="",0,IF(G408=TRUE,IFERROR(H408,0)+IFERROR(I408,0)+IFERROR(J408,0)+IFERROR(K408,0)+IFERROR(L408,0),0))</f>
        <v/>
      </c>
      <c r="Z408" s="16">
        <f>IF(A408="",0,IF(AND(O408=TRUE,G408&lt;&gt;TRUE),IFERROR(H408,0)+IFERROR(I408,0)+IFERROR(J408,0)+IFERROR(K408,0)+IFERROR(L408,0),0))</f>
        <v/>
      </c>
    </row>
    <row r="409">
      <c r="A409" s="10" t="n"/>
      <c r="B409" s="10" t="n"/>
      <c r="C409" s="11" t="n"/>
      <c r="D409" s="11" t="n"/>
      <c r="E409" s="10" t="n"/>
      <c r="F409" s="10" t="n"/>
      <c r="G409" s="12" t="n"/>
      <c r="H409" s="13" t="n"/>
      <c r="I409" s="13" t="n"/>
      <c r="J409" s="13" t="n"/>
      <c r="K409" s="13" t="n"/>
      <c r="L409" s="13" t="n"/>
      <c r="M409" s="14">
        <f>IFERROR(IF(A409="","",IFERROR(VLOOKUP(A409,Raw_PriorMonth!A:E,5,FALSE),0)),0)</f>
        <v/>
      </c>
      <c r="N409" s="14">
        <f>IF(A409="","",IFERROR(E409,0)+IFERROR(M409,0))</f>
        <v/>
      </c>
      <c r="O409" s="15">
        <f>IF(A409="","",IF(N409&gt;=28,TRUE,FALSE))</f>
        <v/>
      </c>
      <c r="P409" s="15">
        <f>IF(A409="","",OR(G409=TRUE,O409=TRUE))</f>
        <v/>
      </c>
      <c r="Q409" s="16">
        <f>IF(A409="","",IFERROR(H409,0)+IFERROR(I409,0)+IFERROR(J409,0)+IFERROR(K409,0)+IFERROR(L409,0))</f>
        <v/>
      </c>
      <c r="R409" s="16">
        <f>IF(A409="","",IF(P409=TRUE,0,Q409))</f>
        <v/>
      </c>
      <c r="S409" s="16">
        <f>IF(A409="","",IF(P409=TRUE,0,IFERROR(H409,0)))</f>
        <v/>
      </c>
      <c r="T409" s="16">
        <f>IF(A409="","",IF(P409=TRUE,0,IFERROR(I409,0)))</f>
        <v/>
      </c>
      <c r="U409" s="16">
        <f>IF(A409="","",IF(P409=TRUE,0,IFERROR(J409,0)))</f>
        <v/>
      </c>
      <c r="V409" s="16">
        <f>IF(A409="","",IF(P409=TRUE,0,IFERROR(K409,0)))</f>
        <v/>
      </c>
      <c r="W409" s="16">
        <f>IF(A409="","",IF(P409=TRUE,0,IFERROR(L409,0)))</f>
        <v/>
      </c>
      <c r="X409" s="16">
        <f>IF(A409="","",IF(P409=TRUE,0,IFERROR(H409,0)+IFERROR(I409,0)+IFERROR(L409,0)))</f>
        <v/>
      </c>
      <c r="Y409" s="16">
        <f>IF(A409="",0,IF(G409=TRUE,IFERROR(H409,0)+IFERROR(I409,0)+IFERROR(J409,0)+IFERROR(K409,0)+IFERROR(L409,0),0))</f>
        <v/>
      </c>
      <c r="Z409" s="16">
        <f>IF(A409="",0,IF(AND(O409=TRUE,G409&lt;&gt;TRUE),IFERROR(H409,0)+IFERROR(I409,0)+IFERROR(J409,0)+IFERROR(K409,0)+IFERROR(L409,0),0))</f>
        <v/>
      </c>
    </row>
    <row r="410">
      <c r="A410" s="10" t="n"/>
      <c r="B410" s="10" t="n"/>
      <c r="C410" s="11" t="n"/>
      <c r="D410" s="11" t="n"/>
      <c r="E410" s="10" t="n"/>
      <c r="F410" s="10" t="n"/>
      <c r="G410" s="12" t="n"/>
      <c r="H410" s="13" t="n"/>
      <c r="I410" s="13" t="n"/>
      <c r="J410" s="13" t="n"/>
      <c r="K410" s="13" t="n"/>
      <c r="L410" s="13" t="n"/>
      <c r="M410" s="14">
        <f>IFERROR(IF(A410="","",IFERROR(VLOOKUP(A410,Raw_PriorMonth!A:E,5,FALSE),0)),0)</f>
        <v/>
      </c>
      <c r="N410" s="14">
        <f>IF(A410="","",IFERROR(E410,0)+IFERROR(M410,0))</f>
        <v/>
      </c>
      <c r="O410" s="15">
        <f>IF(A410="","",IF(N410&gt;=28,TRUE,FALSE))</f>
        <v/>
      </c>
      <c r="P410" s="15">
        <f>IF(A410="","",OR(G410=TRUE,O410=TRUE))</f>
        <v/>
      </c>
      <c r="Q410" s="16">
        <f>IF(A410="","",IFERROR(H410,0)+IFERROR(I410,0)+IFERROR(J410,0)+IFERROR(K410,0)+IFERROR(L410,0))</f>
        <v/>
      </c>
      <c r="R410" s="16">
        <f>IF(A410="","",IF(P410=TRUE,0,Q410))</f>
        <v/>
      </c>
      <c r="S410" s="16">
        <f>IF(A410="","",IF(P410=TRUE,0,IFERROR(H410,0)))</f>
        <v/>
      </c>
      <c r="T410" s="16">
        <f>IF(A410="","",IF(P410=TRUE,0,IFERROR(I410,0)))</f>
        <v/>
      </c>
      <c r="U410" s="16">
        <f>IF(A410="","",IF(P410=TRUE,0,IFERROR(J410,0)))</f>
        <v/>
      </c>
      <c r="V410" s="16">
        <f>IF(A410="","",IF(P410=TRUE,0,IFERROR(K410,0)))</f>
        <v/>
      </c>
      <c r="W410" s="16">
        <f>IF(A410="","",IF(P410=TRUE,0,IFERROR(L410,0)))</f>
        <v/>
      </c>
      <c r="X410" s="16">
        <f>IF(A410="","",IF(P410=TRUE,0,IFERROR(H410,0)+IFERROR(I410,0)+IFERROR(L410,0)))</f>
        <v/>
      </c>
      <c r="Y410" s="16">
        <f>IF(A410="",0,IF(G410=TRUE,IFERROR(H410,0)+IFERROR(I410,0)+IFERROR(J410,0)+IFERROR(K410,0)+IFERROR(L410,0),0))</f>
        <v/>
      </c>
      <c r="Z410" s="16">
        <f>IF(A410="",0,IF(AND(O410=TRUE,G410&lt;&gt;TRUE),IFERROR(H410,0)+IFERROR(I410,0)+IFERROR(J410,0)+IFERROR(K410,0)+IFERROR(L410,0),0))</f>
        <v/>
      </c>
    </row>
    <row r="411">
      <c r="A411" s="10" t="n"/>
      <c r="B411" s="10" t="n"/>
      <c r="C411" s="11" t="n"/>
      <c r="D411" s="11" t="n"/>
      <c r="E411" s="10" t="n"/>
      <c r="F411" s="10" t="n"/>
      <c r="G411" s="12" t="n"/>
      <c r="H411" s="13" t="n"/>
      <c r="I411" s="13" t="n"/>
      <c r="J411" s="13" t="n"/>
      <c r="K411" s="13" t="n"/>
      <c r="L411" s="13" t="n"/>
      <c r="M411" s="14">
        <f>IFERROR(IF(A411="","",IFERROR(VLOOKUP(A411,Raw_PriorMonth!A:E,5,FALSE),0)),0)</f>
        <v/>
      </c>
      <c r="N411" s="14">
        <f>IF(A411="","",IFERROR(E411,0)+IFERROR(M411,0))</f>
        <v/>
      </c>
      <c r="O411" s="15">
        <f>IF(A411="","",IF(N411&gt;=28,TRUE,FALSE))</f>
        <v/>
      </c>
      <c r="P411" s="15">
        <f>IF(A411="","",OR(G411=TRUE,O411=TRUE))</f>
        <v/>
      </c>
      <c r="Q411" s="16">
        <f>IF(A411="","",IFERROR(H411,0)+IFERROR(I411,0)+IFERROR(J411,0)+IFERROR(K411,0)+IFERROR(L411,0))</f>
        <v/>
      </c>
      <c r="R411" s="16">
        <f>IF(A411="","",IF(P411=TRUE,0,Q411))</f>
        <v/>
      </c>
      <c r="S411" s="16">
        <f>IF(A411="","",IF(P411=TRUE,0,IFERROR(H411,0)))</f>
        <v/>
      </c>
      <c r="T411" s="16">
        <f>IF(A411="","",IF(P411=TRUE,0,IFERROR(I411,0)))</f>
        <v/>
      </c>
      <c r="U411" s="16">
        <f>IF(A411="","",IF(P411=TRUE,0,IFERROR(J411,0)))</f>
        <v/>
      </c>
      <c r="V411" s="16">
        <f>IF(A411="","",IF(P411=TRUE,0,IFERROR(K411,0)))</f>
        <v/>
      </c>
      <c r="W411" s="16">
        <f>IF(A411="","",IF(P411=TRUE,0,IFERROR(L411,0)))</f>
        <v/>
      </c>
      <c r="X411" s="16">
        <f>IF(A411="","",IF(P411=TRUE,0,IFERROR(H411,0)+IFERROR(I411,0)+IFERROR(L411,0)))</f>
        <v/>
      </c>
      <c r="Y411" s="16">
        <f>IF(A411="",0,IF(G411=TRUE,IFERROR(H411,0)+IFERROR(I411,0)+IFERROR(J411,0)+IFERROR(K411,0)+IFERROR(L411,0),0))</f>
        <v/>
      </c>
      <c r="Z411" s="16">
        <f>IF(A411="",0,IF(AND(O411=TRUE,G411&lt;&gt;TRUE),IFERROR(H411,0)+IFERROR(I411,0)+IFERROR(J411,0)+IFERROR(K411,0)+IFERROR(L411,0),0))</f>
        <v/>
      </c>
    </row>
    <row r="412">
      <c r="A412" s="10" t="n"/>
      <c r="B412" s="10" t="n"/>
      <c r="C412" s="11" t="n"/>
      <c r="D412" s="11" t="n"/>
      <c r="E412" s="10" t="n"/>
      <c r="F412" s="10" t="n"/>
      <c r="G412" s="12" t="n"/>
      <c r="H412" s="13" t="n"/>
      <c r="I412" s="13" t="n"/>
      <c r="J412" s="13" t="n"/>
      <c r="K412" s="13" t="n"/>
      <c r="L412" s="13" t="n"/>
      <c r="M412" s="14">
        <f>IFERROR(IF(A412="","",IFERROR(VLOOKUP(A412,Raw_PriorMonth!A:E,5,FALSE),0)),0)</f>
        <v/>
      </c>
      <c r="N412" s="14">
        <f>IF(A412="","",IFERROR(E412,0)+IFERROR(M412,0))</f>
        <v/>
      </c>
      <c r="O412" s="15">
        <f>IF(A412="","",IF(N412&gt;=28,TRUE,FALSE))</f>
        <v/>
      </c>
      <c r="P412" s="15">
        <f>IF(A412="","",OR(G412=TRUE,O412=TRUE))</f>
        <v/>
      </c>
      <c r="Q412" s="16">
        <f>IF(A412="","",IFERROR(H412,0)+IFERROR(I412,0)+IFERROR(J412,0)+IFERROR(K412,0)+IFERROR(L412,0))</f>
        <v/>
      </c>
      <c r="R412" s="16">
        <f>IF(A412="","",IF(P412=TRUE,0,Q412))</f>
        <v/>
      </c>
      <c r="S412" s="16">
        <f>IF(A412="","",IF(P412=TRUE,0,IFERROR(H412,0)))</f>
        <v/>
      </c>
      <c r="T412" s="16">
        <f>IF(A412="","",IF(P412=TRUE,0,IFERROR(I412,0)))</f>
        <v/>
      </c>
      <c r="U412" s="16">
        <f>IF(A412="","",IF(P412=TRUE,0,IFERROR(J412,0)))</f>
        <v/>
      </c>
      <c r="V412" s="16">
        <f>IF(A412="","",IF(P412=TRUE,0,IFERROR(K412,0)))</f>
        <v/>
      </c>
      <c r="W412" s="16">
        <f>IF(A412="","",IF(P412=TRUE,0,IFERROR(L412,0)))</f>
        <v/>
      </c>
      <c r="X412" s="16">
        <f>IF(A412="","",IF(P412=TRUE,0,IFERROR(H412,0)+IFERROR(I412,0)+IFERROR(L412,0)))</f>
        <v/>
      </c>
      <c r="Y412" s="16">
        <f>IF(A412="",0,IF(G412=TRUE,IFERROR(H412,0)+IFERROR(I412,0)+IFERROR(J412,0)+IFERROR(K412,0)+IFERROR(L412,0),0))</f>
        <v/>
      </c>
      <c r="Z412" s="16">
        <f>IF(A412="",0,IF(AND(O412=TRUE,G412&lt;&gt;TRUE),IFERROR(H412,0)+IFERROR(I412,0)+IFERROR(J412,0)+IFERROR(K412,0)+IFERROR(L412,0),0))</f>
        <v/>
      </c>
    </row>
    <row r="413">
      <c r="A413" s="10" t="n"/>
      <c r="B413" s="10" t="n"/>
      <c r="C413" s="11" t="n"/>
      <c r="D413" s="11" t="n"/>
      <c r="E413" s="10" t="n"/>
      <c r="F413" s="10" t="n"/>
      <c r="G413" s="12" t="n"/>
      <c r="H413" s="13" t="n"/>
      <c r="I413" s="13" t="n"/>
      <c r="J413" s="13" t="n"/>
      <c r="K413" s="13" t="n"/>
      <c r="L413" s="13" t="n"/>
      <c r="M413" s="14">
        <f>IFERROR(IF(A413="","",IFERROR(VLOOKUP(A413,Raw_PriorMonth!A:E,5,FALSE),0)),0)</f>
        <v/>
      </c>
      <c r="N413" s="14">
        <f>IF(A413="","",IFERROR(E413,0)+IFERROR(M413,0))</f>
        <v/>
      </c>
      <c r="O413" s="15">
        <f>IF(A413="","",IF(N413&gt;=28,TRUE,FALSE))</f>
        <v/>
      </c>
      <c r="P413" s="15">
        <f>IF(A413="","",OR(G413=TRUE,O413=TRUE))</f>
        <v/>
      </c>
      <c r="Q413" s="16">
        <f>IF(A413="","",IFERROR(H413,0)+IFERROR(I413,0)+IFERROR(J413,0)+IFERROR(K413,0)+IFERROR(L413,0))</f>
        <v/>
      </c>
      <c r="R413" s="16">
        <f>IF(A413="","",IF(P413=TRUE,0,Q413))</f>
        <v/>
      </c>
      <c r="S413" s="16">
        <f>IF(A413="","",IF(P413=TRUE,0,IFERROR(H413,0)))</f>
        <v/>
      </c>
      <c r="T413" s="16">
        <f>IF(A413="","",IF(P413=TRUE,0,IFERROR(I413,0)))</f>
        <v/>
      </c>
      <c r="U413" s="16">
        <f>IF(A413="","",IF(P413=TRUE,0,IFERROR(J413,0)))</f>
        <v/>
      </c>
      <c r="V413" s="16">
        <f>IF(A413="","",IF(P413=TRUE,0,IFERROR(K413,0)))</f>
        <v/>
      </c>
      <c r="W413" s="16">
        <f>IF(A413="","",IF(P413=TRUE,0,IFERROR(L413,0)))</f>
        <v/>
      </c>
      <c r="X413" s="16">
        <f>IF(A413="","",IF(P413=TRUE,0,IFERROR(H413,0)+IFERROR(I413,0)+IFERROR(L413,0)))</f>
        <v/>
      </c>
      <c r="Y413" s="16">
        <f>IF(A413="",0,IF(G413=TRUE,IFERROR(H413,0)+IFERROR(I413,0)+IFERROR(J413,0)+IFERROR(K413,0)+IFERROR(L413,0),0))</f>
        <v/>
      </c>
      <c r="Z413" s="16">
        <f>IF(A413="",0,IF(AND(O413=TRUE,G413&lt;&gt;TRUE),IFERROR(H413,0)+IFERROR(I413,0)+IFERROR(J413,0)+IFERROR(K413,0)+IFERROR(L413,0),0))</f>
        <v/>
      </c>
    </row>
    <row r="414">
      <c r="A414" s="10" t="n"/>
      <c r="B414" s="10" t="n"/>
      <c r="C414" s="11" t="n"/>
      <c r="D414" s="11" t="n"/>
      <c r="E414" s="10" t="n"/>
      <c r="F414" s="10" t="n"/>
      <c r="G414" s="12" t="n"/>
      <c r="H414" s="13" t="n"/>
      <c r="I414" s="13" t="n"/>
      <c r="J414" s="13" t="n"/>
      <c r="K414" s="13" t="n"/>
      <c r="L414" s="13" t="n"/>
      <c r="M414" s="14">
        <f>IFERROR(IF(A414="","",IFERROR(VLOOKUP(A414,Raw_PriorMonth!A:E,5,FALSE),0)),0)</f>
        <v/>
      </c>
      <c r="N414" s="14">
        <f>IF(A414="","",IFERROR(E414,0)+IFERROR(M414,0))</f>
        <v/>
      </c>
      <c r="O414" s="15">
        <f>IF(A414="","",IF(N414&gt;=28,TRUE,FALSE))</f>
        <v/>
      </c>
      <c r="P414" s="15">
        <f>IF(A414="","",OR(G414=TRUE,O414=TRUE))</f>
        <v/>
      </c>
      <c r="Q414" s="16">
        <f>IF(A414="","",IFERROR(H414,0)+IFERROR(I414,0)+IFERROR(J414,0)+IFERROR(K414,0)+IFERROR(L414,0))</f>
        <v/>
      </c>
      <c r="R414" s="16">
        <f>IF(A414="","",IF(P414=TRUE,0,Q414))</f>
        <v/>
      </c>
      <c r="S414" s="16">
        <f>IF(A414="","",IF(P414=TRUE,0,IFERROR(H414,0)))</f>
        <v/>
      </c>
      <c r="T414" s="16">
        <f>IF(A414="","",IF(P414=TRUE,0,IFERROR(I414,0)))</f>
        <v/>
      </c>
      <c r="U414" s="16">
        <f>IF(A414="","",IF(P414=TRUE,0,IFERROR(J414,0)))</f>
        <v/>
      </c>
      <c r="V414" s="16">
        <f>IF(A414="","",IF(P414=TRUE,0,IFERROR(K414,0)))</f>
        <v/>
      </c>
      <c r="W414" s="16">
        <f>IF(A414="","",IF(P414=TRUE,0,IFERROR(L414,0)))</f>
        <v/>
      </c>
      <c r="X414" s="16">
        <f>IF(A414="","",IF(P414=TRUE,0,IFERROR(H414,0)+IFERROR(I414,0)+IFERROR(L414,0)))</f>
        <v/>
      </c>
      <c r="Y414" s="16">
        <f>IF(A414="",0,IF(G414=TRUE,IFERROR(H414,0)+IFERROR(I414,0)+IFERROR(J414,0)+IFERROR(K414,0)+IFERROR(L414,0),0))</f>
        <v/>
      </c>
      <c r="Z414" s="16">
        <f>IF(A414="",0,IF(AND(O414=TRUE,G414&lt;&gt;TRUE),IFERROR(H414,0)+IFERROR(I414,0)+IFERROR(J414,0)+IFERROR(K414,0)+IFERROR(L414,0),0))</f>
        <v/>
      </c>
    </row>
    <row r="415">
      <c r="A415" s="10" t="n"/>
      <c r="B415" s="10" t="n"/>
      <c r="C415" s="11" t="n"/>
      <c r="D415" s="11" t="n"/>
      <c r="E415" s="10" t="n"/>
      <c r="F415" s="10" t="n"/>
      <c r="G415" s="12" t="n"/>
      <c r="H415" s="13" t="n"/>
      <c r="I415" s="13" t="n"/>
      <c r="J415" s="13" t="n"/>
      <c r="K415" s="13" t="n"/>
      <c r="L415" s="13" t="n"/>
      <c r="M415" s="14">
        <f>IFERROR(IF(A415="","",IFERROR(VLOOKUP(A415,Raw_PriorMonth!A:E,5,FALSE),0)),0)</f>
        <v/>
      </c>
      <c r="N415" s="14">
        <f>IF(A415="","",IFERROR(E415,0)+IFERROR(M415,0))</f>
        <v/>
      </c>
      <c r="O415" s="15">
        <f>IF(A415="","",IF(N415&gt;=28,TRUE,FALSE))</f>
        <v/>
      </c>
      <c r="P415" s="15">
        <f>IF(A415="","",OR(G415=TRUE,O415=TRUE))</f>
        <v/>
      </c>
      <c r="Q415" s="16">
        <f>IF(A415="","",IFERROR(H415,0)+IFERROR(I415,0)+IFERROR(J415,0)+IFERROR(K415,0)+IFERROR(L415,0))</f>
        <v/>
      </c>
      <c r="R415" s="16">
        <f>IF(A415="","",IF(P415=TRUE,0,Q415))</f>
        <v/>
      </c>
      <c r="S415" s="16">
        <f>IF(A415="","",IF(P415=TRUE,0,IFERROR(H415,0)))</f>
        <v/>
      </c>
      <c r="T415" s="16">
        <f>IF(A415="","",IF(P415=TRUE,0,IFERROR(I415,0)))</f>
        <v/>
      </c>
      <c r="U415" s="16">
        <f>IF(A415="","",IF(P415=TRUE,0,IFERROR(J415,0)))</f>
        <v/>
      </c>
      <c r="V415" s="16">
        <f>IF(A415="","",IF(P415=TRUE,0,IFERROR(K415,0)))</f>
        <v/>
      </c>
      <c r="W415" s="16">
        <f>IF(A415="","",IF(P415=TRUE,0,IFERROR(L415,0)))</f>
        <v/>
      </c>
      <c r="X415" s="16">
        <f>IF(A415="","",IF(P415=TRUE,0,IFERROR(H415,0)+IFERROR(I415,0)+IFERROR(L415,0)))</f>
        <v/>
      </c>
      <c r="Y415" s="16">
        <f>IF(A415="",0,IF(G415=TRUE,IFERROR(H415,0)+IFERROR(I415,0)+IFERROR(J415,0)+IFERROR(K415,0)+IFERROR(L415,0),0))</f>
        <v/>
      </c>
      <c r="Z415" s="16">
        <f>IF(A415="",0,IF(AND(O415=TRUE,G415&lt;&gt;TRUE),IFERROR(H415,0)+IFERROR(I415,0)+IFERROR(J415,0)+IFERROR(K415,0)+IFERROR(L415,0),0))</f>
        <v/>
      </c>
    </row>
    <row r="416">
      <c r="A416" s="10" t="n"/>
      <c r="B416" s="10" t="n"/>
      <c r="C416" s="11" t="n"/>
      <c r="D416" s="11" t="n"/>
      <c r="E416" s="10" t="n"/>
      <c r="F416" s="10" t="n"/>
      <c r="G416" s="12" t="n"/>
      <c r="H416" s="13" t="n"/>
      <c r="I416" s="13" t="n"/>
      <c r="J416" s="13" t="n"/>
      <c r="K416" s="13" t="n"/>
      <c r="L416" s="13" t="n"/>
      <c r="M416" s="14">
        <f>IFERROR(IF(A416="","",IFERROR(VLOOKUP(A416,Raw_PriorMonth!A:E,5,FALSE),0)),0)</f>
        <v/>
      </c>
      <c r="N416" s="14">
        <f>IF(A416="","",IFERROR(E416,0)+IFERROR(M416,0))</f>
        <v/>
      </c>
      <c r="O416" s="15">
        <f>IF(A416="","",IF(N416&gt;=28,TRUE,FALSE))</f>
        <v/>
      </c>
      <c r="P416" s="15">
        <f>IF(A416="","",OR(G416=TRUE,O416=TRUE))</f>
        <v/>
      </c>
      <c r="Q416" s="16">
        <f>IF(A416="","",IFERROR(H416,0)+IFERROR(I416,0)+IFERROR(J416,0)+IFERROR(K416,0)+IFERROR(L416,0))</f>
        <v/>
      </c>
      <c r="R416" s="16">
        <f>IF(A416="","",IF(P416=TRUE,0,Q416))</f>
        <v/>
      </c>
      <c r="S416" s="16">
        <f>IF(A416="","",IF(P416=TRUE,0,IFERROR(H416,0)))</f>
        <v/>
      </c>
      <c r="T416" s="16">
        <f>IF(A416="","",IF(P416=TRUE,0,IFERROR(I416,0)))</f>
        <v/>
      </c>
      <c r="U416" s="16">
        <f>IF(A416="","",IF(P416=TRUE,0,IFERROR(J416,0)))</f>
        <v/>
      </c>
      <c r="V416" s="16">
        <f>IF(A416="","",IF(P416=TRUE,0,IFERROR(K416,0)))</f>
        <v/>
      </c>
      <c r="W416" s="16">
        <f>IF(A416="","",IF(P416=TRUE,0,IFERROR(L416,0)))</f>
        <v/>
      </c>
      <c r="X416" s="16">
        <f>IF(A416="","",IF(P416=TRUE,0,IFERROR(H416,0)+IFERROR(I416,0)+IFERROR(L416,0)))</f>
        <v/>
      </c>
      <c r="Y416" s="16">
        <f>IF(A416="",0,IF(G416=TRUE,IFERROR(H416,0)+IFERROR(I416,0)+IFERROR(J416,0)+IFERROR(K416,0)+IFERROR(L416,0),0))</f>
        <v/>
      </c>
      <c r="Z416" s="16">
        <f>IF(A416="",0,IF(AND(O416=TRUE,G416&lt;&gt;TRUE),IFERROR(H416,0)+IFERROR(I416,0)+IFERROR(J416,0)+IFERROR(K416,0)+IFERROR(L416,0),0))</f>
        <v/>
      </c>
    </row>
    <row r="417">
      <c r="A417" s="10" t="n"/>
      <c r="B417" s="10" t="n"/>
      <c r="C417" s="11" t="n"/>
      <c r="D417" s="11" t="n"/>
      <c r="E417" s="10" t="n"/>
      <c r="F417" s="10" t="n"/>
      <c r="G417" s="12" t="n"/>
      <c r="H417" s="13" t="n"/>
      <c r="I417" s="13" t="n"/>
      <c r="J417" s="13" t="n"/>
      <c r="K417" s="13" t="n"/>
      <c r="L417" s="13" t="n"/>
      <c r="M417" s="14">
        <f>IFERROR(IF(A417="","",IFERROR(VLOOKUP(A417,Raw_PriorMonth!A:E,5,FALSE),0)),0)</f>
        <v/>
      </c>
      <c r="N417" s="14">
        <f>IF(A417="","",IFERROR(E417,0)+IFERROR(M417,0))</f>
        <v/>
      </c>
      <c r="O417" s="15">
        <f>IF(A417="","",IF(N417&gt;=28,TRUE,FALSE))</f>
        <v/>
      </c>
      <c r="P417" s="15">
        <f>IF(A417="","",OR(G417=TRUE,O417=TRUE))</f>
        <v/>
      </c>
      <c r="Q417" s="16">
        <f>IF(A417="","",IFERROR(H417,0)+IFERROR(I417,0)+IFERROR(J417,0)+IFERROR(K417,0)+IFERROR(L417,0))</f>
        <v/>
      </c>
      <c r="R417" s="16">
        <f>IF(A417="","",IF(P417=TRUE,0,Q417))</f>
        <v/>
      </c>
      <c r="S417" s="16">
        <f>IF(A417="","",IF(P417=TRUE,0,IFERROR(H417,0)))</f>
        <v/>
      </c>
      <c r="T417" s="16">
        <f>IF(A417="","",IF(P417=TRUE,0,IFERROR(I417,0)))</f>
        <v/>
      </c>
      <c r="U417" s="16">
        <f>IF(A417="","",IF(P417=TRUE,0,IFERROR(J417,0)))</f>
        <v/>
      </c>
      <c r="V417" s="16">
        <f>IF(A417="","",IF(P417=TRUE,0,IFERROR(K417,0)))</f>
        <v/>
      </c>
      <c r="W417" s="16">
        <f>IF(A417="","",IF(P417=TRUE,0,IFERROR(L417,0)))</f>
        <v/>
      </c>
      <c r="X417" s="16">
        <f>IF(A417="","",IF(P417=TRUE,0,IFERROR(H417,0)+IFERROR(I417,0)+IFERROR(L417,0)))</f>
        <v/>
      </c>
      <c r="Y417" s="16">
        <f>IF(A417="",0,IF(G417=TRUE,IFERROR(H417,0)+IFERROR(I417,0)+IFERROR(J417,0)+IFERROR(K417,0)+IFERROR(L417,0),0))</f>
        <v/>
      </c>
      <c r="Z417" s="16">
        <f>IF(A417="",0,IF(AND(O417=TRUE,G417&lt;&gt;TRUE),IFERROR(H417,0)+IFERROR(I417,0)+IFERROR(J417,0)+IFERROR(K417,0)+IFERROR(L417,0),0))</f>
        <v/>
      </c>
    </row>
    <row r="418">
      <c r="A418" s="10" t="n"/>
      <c r="B418" s="10" t="n"/>
      <c r="C418" s="11" t="n"/>
      <c r="D418" s="11" t="n"/>
      <c r="E418" s="10" t="n"/>
      <c r="F418" s="10" t="n"/>
      <c r="G418" s="12" t="n"/>
      <c r="H418" s="13" t="n"/>
      <c r="I418" s="13" t="n"/>
      <c r="J418" s="13" t="n"/>
      <c r="K418" s="13" t="n"/>
      <c r="L418" s="13" t="n"/>
      <c r="M418" s="14">
        <f>IFERROR(IF(A418="","",IFERROR(VLOOKUP(A418,Raw_PriorMonth!A:E,5,FALSE),0)),0)</f>
        <v/>
      </c>
      <c r="N418" s="14">
        <f>IF(A418="","",IFERROR(E418,0)+IFERROR(M418,0))</f>
        <v/>
      </c>
      <c r="O418" s="15">
        <f>IF(A418="","",IF(N418&gt;=28,TRUE,FALSE))</f>
        <v/>
      </c>
      <c r="P418" s="15">
        <f>IF(A418="","",OR(G418=TRUE,O418=TRUE))</f>
        <v/>
      </c>
      <c r="Q418" s="16">
        <f>IF(A418="","",IFERROR(H418,0)+IFERROR(I418,0)+IFERROR(J418,0)+IFERROR(K418,0)+IFERROR(L418,0))</f>
        <v/>
      </c>
      <c r="R418" s="16">
        <f>IF(A418="","",IF(P418=TRUE,0,Q418))</f>
        <v/>
      </c>
      <c r="S418" s="16">
        <f>IF(A418="","",IF(P418=TRUE,0,IFERROR(H418,0)))</f>
        <v/>
      </c>
      <c r="T418" s="16">
        <f>IF(A418="","",IF(P418=TRUE,0,IFERROR(I418,0)))</f>
        <v/>
      </c>
      <c r="U418" s="16">
        <f>IF(A418="","",IF(P418=TRUE,0,IFERROR(J418,0)))</f>
        <v/>
      </c>
      <c r="V418" s="16">
        <f>IF(A418="","",IF(P418=TRUE,0,IFERROR(K418,0)))</f>
        <v/>
      </c>
      <c r="W418" s="16">
        <f>IF(A418="","",IF(P418=TRUE,0,IFERROR(L418,0)))</f>
        <v/>
      </c>
      <c r="X418" s="16">
        <f>IF(A418="","",IF(P418=TRUE,0,IFERROR(H418,0)+IFERROR(I418,0)+IFERROR(L418,0)))</f>
        <v/>
      </c>
      <c r="Y418" s="16">
        <f>IF(A418="",0,IF(G418=TRUE,IFERROR(H418,0)+IFERROR(I418,0)+IFERROR(J418,0)+IFERROR(K418,0)+IFERROR(L418,0),0))</f>
        <v/>
      </c>
      <c r="Z418" s="16">
        <f>IF(A418="",0,IF(AND(O418=TRUE,G418&lt;&gt;TRUE),IFERROR(H418,0)+IFERROR(I418,0)+IFERROR(J418,0)+IFERROR(K418,0)+IFERROR(L418,0),0))</f>
        <v/>
      </c>
    </row>
    <row r="419">
      <c r="A419" s="10" t="n"/>
      <c r="B419" s="10" t="n"/>
      <c r="C419" s="11" t="n"/>
      <c r="D419" s="11" t="n"/>
      <c r="E419" s="10" t="n"/>
      <c r="F419" s="10" t="n"/>
      <c r="G419" s="12" t="n"/>
      <c r="H419" s="13" t="n"/>
      <c r="I419" s="13" t="n"/>
      <c r="J419" s="13" t="n"/>
      <c r="K419" s="13" t="n"/>
      <c r="L419" s="13" t="n"/>
      <c r="M419" s="14">
        <f>IFERROR(IF(A419="","",IFERROR(VLOOKUP(A419,Raw_PriorMonth!A:E,5,FALSE),0)),0)</f>
        <v/>
      </c>
      <c r="N419" s="14">
        <f>IF(A419="","",IFERROR(E419,0)+IFERROR(M419,0))</f>
        <v/>
      </c>
      <c r="O419" s="15">
        <f>IF(A419="","",IF(N419&gt;=28,TRUE,FALSE))</f>
        <v/>
      </c>
      <c r="P419" s="15">
        <f>IF(A419="","",OR(G419=TRUE,O419=TRUE))</f>
        <v/>
      </c>
      <c r="Q419" s="16">
        <f>IF(A419="","",IFERROR(H419,0)+IFERROR(I419,0)+IFERROR(J419,0)+IFERROR(K419,0)+IFERROR(L419,0))</f>
        <v/>
      </c>
      <c r="R419" s="16">
        <f>IF(A419="","",IF(P419=TRUE,0,Q419))</f>
        <v/>
      </c>
      <c r="S419" s="16">
        <f>IF(A419="","",IF(P419=TRUE,0,IFERROR(H419,0)))</f>
        <v/>
      </c>
      <c r="T419" s="16">
        <f>IF(A419="","",IF(P419=TRUE,0,IFERROR(I419,0)))</f>
        <v/>
      </c>
      <c r="U419" s="16">
        <f>IF(A419="","",IF(P419=TRUE,0,IFERROR(J419,0)))</f>
        <v/>
      </c>
      <c r="V419" s="16">
        <f>IF(A419="","",IF(P419=TRUE,0,IFERROR(K419,0)))</f>
        <v/>
      </c>
      <c r="W419" s="16">
        <f>IF(A419="","",IF(P419=TRUE,0,IFERROR(L419,0)))</f>
        <v/>
      </c>
      <c r="X419" s="16">
        <f>IF(A419="","",IF(P419=TRUE,0,IFERROR(H419,0)+IFERROR(I419,0)+IFERROR(L419,0)))</f>
        <v/>
      </c>
      <c r="Y419" s="16">
        <f>IF(A419="",0,IF(G419=TRUE,IFERROR(H419,0)+IFERROR(I419,0)+IFERROR(J419,0)+IFERROR(K419,0)+IFERROR(L419,0),0))</f>
        <v/>
      </c>
      <c r="Z419" s="16">
        <f>IF(A419="",0,IF(AND(O419=TRUE,G419&lt;&gt;TRUE),IFERROR(H419,0)+IFERROR(I419,0)+IFERROR(J419,0)+IFERROR(K419,0)+IFERROR(L419,0),0))</f>
        <v/>
      </c>
    </row>
    <row r="420">
      <c r="A420" s="10" t="n"/>
      <c r="B420" s="10" t="n"/>
      <c r="C420" s="11" t="n"/>
      <c r="D420" s="11" t="n"/>
      <c r="E420" s="10" t="n"/>
      <c r="F420" s="10" t="n"/>
      <c r="G420" s="12" t="n"/>
      <c r="H420" s="13" t="n"/>
      <c r="I420" s="13" t="n"/>
      <c r="J420" s="13" t="n"/>
      <c r="K420" s="13" t="n"/>
      <c r="L420" s="13" t="n"/>
      <c r="M420" s="14">
        <f>IFERROR(IF(A420="","",IFERROR(VLOOKUP(A420,Raw_PriorMonth!A:E,5,FALSE),0)),0)</f>
        <v/>
      </c>
      <c r="N420" s="14">
        <f>IF(A420="","",IFERROR(E420,0)+IFERROR(M420,0))</f>
        <v/>
      </c>
      <c r="O420" s="15">
        <f>IF(A420="","",IF(N420&gt;=28,TRUE,FALSE))</f>
        <v/>
      </c>
      <c r="P420" s="15">
        <f>IF(A420="","",OR(G420=TRUE,O420=TRUE))</f>
        <v/>
      </c>
      <c r="Q420" s="16">
        <f>IF(A420="","",IFERROR(H420,0)+IFERROR(I420,0)+IFERROR(J420,0)+IFERROR(K420,0)+IFERROR(L420,0))</f>
        <v/>
      </c>
      <c r="R420" s="16">
        <f>IF(A420="","",IF(P420=TRUE,0,Q420))</f>
        <v/>
      </c>
      <c r="S420" s="16">
        <f>IF(A420="","",IF(P420=TRUE,0,IFERROR(H420,0)))</f>
        <v/>
      </c>
      <c r="T420" s="16">
        <f>IF(A420="","",IF(P420=TRUE,0,IFERROR(I420,0)))</f>
        <v/>
      </c>
      <c r="U420" s="16">
        <f>IF(A420="","",IF(P420=TRUE,0,IFERROR(J420,0)))</f>
        <v/>
      </c>
      <c r="V420" s="16">
        <f>IF(A420="","",IF(P420=TRUE,0,IFERROR(K420,0)))</f>
        <v/>
      </c>
      <c r="W420" s="16">
        <f>IF(A420="","",IF(P420=TRUE,0,IFERROR(L420,0)))</f>
        <v/>
      </c>
      <c r="X420" s="16">
        <f>IF(A420="","",IF(P420=TRUE,0,IFERROR(H420,0)+IFERROR(I420,0)+IFERROR(L420,0)))</f>
        <v/>
      </c>
      <c r="Y420" s="16">
        <f>IF(A420="",0,IF(G420=TRUE,IFERROR(H420,0)+IFERROR(I420,0)+IFERROR(J420,0)+IFERROR(K420,0)+IFERROR(L420,0),0))</f>
        <v/>
      </c>
      <c r="Z420" s="16">
        <f>IF(A420="",0,IF(AND(O420=TRUE,G420&lt;&gt;TRUE),IFERROR(H420,0)+IFERROR(I420,0)+IFERROR(J420,0)+IFERROR(K420,0)+IFERROR(L420,0),0))</f>
        <v/>
      </c>
    </row>
    <row r="421">
      <c r="A421" s="10" t="n"/>
      <c r="B421" s="10" t="n"/>
      <c r="C421" s="11" t="n"/>
      <c r="D421" s="11" t="n"/>
      <c r="E421" s="10" t="n"/>
      <c r="F421" s="10" t="n"/>
      <c r="G421" s="12" t="n"/>
      <c r="H421" s="13" t="n"/>
      <c r="I421" s="13" t="n"/>
      <c r="J421" s="13" t="n"/>
      <c r="K421" s="13" t="n"/>
      <c r="L421" s="13" t="n"/>
      <c r="M421" s="14">
        <f>IFERROR(IF(A421="","",IFERROR(VLOOKUP(A421,Raw_PriorMonth!A:E,5,FALSE),0)),0)</f>
        <v/>
      </c>
      <c r="N421" s="14">
        <f>IF(A421="","",IFERROR(E421,0)+IFERROR(M421,0))</f>
        <v/>
      </c>
      <c r="O421" s="15">
        <f>IF(A421="","",IF(N421&gt;=28,TRUE,FALSE))</f>
        <v/>
      </c>
      <c r="P421" s="15">
        <f>IF(A421="","",OR(G421=TRUE,O421=TRUE))</f>
        <v/>
      </c>
      <c r="Q421" s="16">
        <f>IF(A421="","",IFERROR(H421,0)+IFERROR(I421,0)+IFERROR(J421,0)+IFERROR(K421,0)+IFERROR(L421,0))</f>
        <v/>
      </c>
      <c r="R421" s="16">
        <f>IF(A421="","",IF(P421=TRUE,0,Q421))</f>
        <v/>
      </c>
      <c r="S421" s="16">
        <f>IF(A421="","",IF(P421=TRUE,0,IFERROR(H421,0)))</f>
        <v/>
      </c>
      <c r="T421" s="16">
        <f>IF(A421="","",IF(P421=TRUE,0,IFERROR(I421,0)))</f>
        <v/>
      </c>
      <c r="U421" s="16">
        <f>IF(A421="","",IF(P421=TRUE,0,IFERROR(J421,0)))</f>
        <v/>
      </c>
      <c r="V421" s="16">
        <f>IF(A421="","",IF(P421=TRUE,0,IFERROR(K421,0)))</f>
        <v/>
      </c>
      <c r="W421" s="16">
        <f>IF(A421="","",IF(P421=TRUE,0,IFERROR(L421,0)))</f>
        <v/>
      </c>
      <c r="X421" s="16">
        <f>IF(A421="","",IF(P421=TRUE,0,IFERROR(H421,0)+IFERROR(I421,0)+IFERROR(L421,0)))</f>
        <v/>
      </c>
      <c r="Y421" s="16">
        <f>IF(A421="",0,IF(G421=TRUE,IFERROR(H421,0)+IFERROR(I421,0)+IFERROR(J421,0)+IFERROR(K421,0)+IFERROR(L421,0),0))</f>
        <v/>
      </c>
      <c r="Z421" s="16">
        <f>IF(A421="",0,IF(AND(O421=TRUE,G421&lt;&gt;TRUE),IFERROR(H421,0)+IFERROR(I421,0)+IFERROR(J421,0)+IFERROR(K421,0)+IFERROR(L421,0),0))</f>
        <v/>
      </c>
    </row>
    <row r="422">
      <c r="A422" s="10" t="n"/>
      <c r="B422" s="10" t="n"/>
      <c r="C422" s="11" t="n"/>
      <c r="D422" s="11" t="n"/>
      <c r="E422" s="10" t="n"/>
      <c r="F422" s="10" t="n"/>
      <c r="G422" s="12" t="n"/>
      <c r="H422" s="13" t="n"/>
      <c r="I422" s="13" t="n"/>
      <c r="J422" s="13" t="n"/>
      <c r="K422" s="13" t="n"/>
      <c r="L422" s="13" t="n"/>
      <c r="M422" s="14">
        <f>IFERROR(IF(A422="","",IFERROR(VLOOKUP(A422,Raw_PriorMonth!A:E,5,FALSE),0)),0)</f>
        <v/>
      </c>
      <c r="N422" s="14">
        <f>IF(A422="","",IFERROR(E422,0)+IFERROR(M422,0))</f>
        <v/>
      </c>
      <c r="O422" s="15">
        <f>IF(A422="","",IF(N422&gt;=28,TRUE,FALSE))</f>
        <v/>
      </c>
      <c r="P422" s="15">
        <f>IF(A422="","",OR(G422=TRUE,O422=TRUE))</f>
        <v/>
      </c>
      <c r="Q422" s="16">
        <f>IF(A422="","",IFERROR(H422,0)+IFERROR(I422,0)+IFERROR(J422,0)+IFERROR(K422,0)+IFERROR(L422,0))</f>
        <v/>
      </c>
      <c r="R422" s="16">
        <f>IF(A422="","",IF(P422=TRUE,0,Q422))</f>
        <v/>
      </c>
      <c r="S422" s="16">
        <f>IF(A422="","",IF(P422=TRUE,0,IFERROR(H422,0)))</f>
        <v/>
      </c>
      <c r="T422" s="16">
        <f>IF(A422="","",IF(P422=TRUE,0,IFERROR(I422,0)))</f>
        <v/>
      </c>
      <c r="U422" s="16">
        <f>IF(A422="","",IF(P422=TRUE,0,IFERROR(J422,0)))</f>
        <v/>
      </c>
      <c r="V422" s="16">
        <f>IF(A422="","",IF(P422=TRUE,0,IFERROR(K422,0)))</f>
        <v/>
      </c>
      <c r="W422" s="16">
        <f>IF(A422="","",IF(P422=TRUE,0,IFERROR(L422,0)))</f>
        <v/>
      </c>
      <c r="X422" s="16">
        <f>IF(A422="","",IF(P422=TRUE,0,IFERROR(H422,0)+IFERROR(I422,0)+IFERROR(L422,0)))</f>
        <v/>
      </c>
      <c r="Y422" s="16">
        <f>IF(A422="",0,IF(G422=TRUE,IFERROR(H422,0)+IFERROR(I422,0)+IFERROR(J422,0)+IFERROR(K422,0)+IFERROR(L422,0),0))</f>
        <v/>
      </c>
      <c r="Z422" s="16">
        <f>IF(A422="",0,IF(AND(O422=TRUE,G422&lt;&gt;TRUE),IFERROR(H422,0)+IFERROR(I422,0)+IFERROR(J422,0)+IFERROR(K422,0)+IFERROR(L422,0),0))</f>
        <v/>
      </c>
    </row>
    <row r="423">
      <c r="A423" s="10" t="n"/>
      <c r="B423" s="10" t="n"/>
      <c r="C423" s="11" t="n"/>
      <c r="D423" s="11" t="n"/>
      <c r="E423" s="10" t="n"/>
      <c r="F423" s="10" t="n"/>
      <c r="G423" s="12" t="n"/>
      <c r="H423" s="13" t="n"/>
      <c r="I423" s="13" t="n"/>
      <c r="J423" s="13" t="n"/>
      <c r="K423" s="13" t="n"/>
      <c r="L423" s="13" t="n"/>
      <c r="M423" s="14">
        <f>IFERROR(IF(A423="","",IFERROR(VLOOKUP(A423,Raw_PriorMonth!A:E,5,FALSE),0)),0)</f>
        <v/>
      </c>
      <c r="N423" s="14">
        <f>IF(A423="","",IFERROR(E423,0)+IFERROR(M423,0))</f>
        <v/>
      </c>
      <c r="O423" s="15">
        <f>IF(A423="","",IF(N423&gt;=28,TRUE,FALSE))</f>
        <v/>
      </c>
      <c r="P423" s="15">
        <f>IF(A423="","",OR(G423=TRUE,O423=TRUE))</f>
        <v/>
      </c>
      <c r="Q423" s="16">
        <f>IF(A423="","",IFERROR(H423,0)+IFERROR(I423,0)+IFERROR(J423,0)+IFERROR(K423,0)+IFERROR(L423,0))</f>
        <v/>
      </c>
      <c r="R423" s="16">
        <f>IF(A423="","",IF(P423=TRUE,0,Q423))</f>
        <v/>
      </c>
      <c r="S423" s="16">
        <f>IF(A423="","",IF(P423=TRUE,0,IFERROR(H423,0)))</f>
        <v/>
      </c>
      <c r="T423" s="16">
        <f>IF(A423="","",IF(P423=TRUE,0,IFERROR(I423,0)))</f>
        <v/>
      </c>
      <c r="U423" s="16">
        <f>IF(A423="","",IF(P423=TRUE,0,IFERROR(J423,0)))</f>
        <v/>
      </c>
      <c r="V423" s="16">
        <f>IF(A423="","",IF(P423=TRUE,0,IFERROR(K423,0)))</f>
        <v/>
      </c>
      <c r="W423" s="16">
        <f>IF(A423="","",IF(P423=TRUE,0,IFERROR(L423,0)))</f>
        <v/>
      </c>
      <c r="X423" s="16">
        <f>IF(A423="","",IF(P423=TRUE,0,IFERROR(H423,0)+IFERROR(I423,0)+IFERROR(L423,0)))</f>
        <v/>
      </c>
      <c r="Y423" s="16">
        <f>IF(A423="",0,IF(G423=TRUE,IFERROR(H423,0)+IFERROR(I423,0)+IFERROR(J423,0)+IFERROR(K423,0)+IFERROR(L423,0),0))</f>
        <v/>
      </c>
      <c r="Z423" s="16">
        <f>IF(A423="",0,IF(AND(O423=TRUE,G423&lt;&gt;TRUE),IFERROR(H423,0)+IFERROR(I423,0)+IFERROR(J423,0)+IFERROR(K423,0)+IFERROR(L423,0),0))</f>
        <v/>
      </c>
    </row>
    <row r="424">
      <c r="A424" s="10" t="n"/>
      <c r="B424" s="10" t="n"/>
      <c r="C424" s="11" t="n"/>
      <c r="D424" s="11" t="n"/>
      <c r="E424" s="10" t="n"/>
      <c r="F424" s="10" t="n"/>
      <c r="G424" s="12" t="n"/>
      <c r="H424" s="13" t="n"/>
      <c r="I424" s="13" t="n"/>
      <c r="J424" s="13" t="n"/>
      <c r="K424" s="13" t="n"/>
      <c r="L424" s="13" t="n"/>
      <c r="M424" s="14">
        <f>IFERROR(IF(A424="","",IFERROR(VLOOKUP(A424,Raw_PriorMonth!A:E,5,FALSE),0)),0)</f>
        <v/>
      </c>
      <c r="N424" s="14">
        <f>IF(A424="","",IFERROR(E424,0)+IFERROR(M424,0))</f>
        <v/>
      </c>
      <c r="O424" s="15">
        <f>IF(A424="","",IF(N424&gt;=28,TRUE,FALSE))</f>
        <v/>
      </c>
      <c r="P424" s="15">
        <f>IF(A424="","",OR(G424=TRUE,O424=TRUE))</f>
        <v/>
      </c>
      <c r="Q424" s="16">
        <f>IF(A424="","",IFERROR(H424,0)+IFERROR(I424,0)+IFERROR(J424,0)+IFERROR(K424,0)+IFERROR(L424,0))</f>
        <v/>
      </c>
      <c r="R424" s="16">
        <f>IF(A424="","",IF(P424=TRUE,0,Q424))</f>
        <v/>
      </c>
      <c r="S424" s="16">
        <f>IF(A424="","",IF(P424=TRUE,0,IFERROR(H424,0)))</f>
        <v/>
      </c>
      <c r="T424" s="16">
        <f>IF(A424="","",IF(P424=TRUE,0,IFERROR(I424,0)))</f>
        <v/>
      </c>
      <c r="U424" s="16">
        <f>IF(A424="","",IF(P424=TRUE,0,IFERROR(J424,0)))</f>
        <v/>
      </c>
      <c r="V424" s="16">
        <f>IF(A424="","",IF(P424=TRUE,0,IFERROR(K424,0)))</f>
        <v/>
      </c>
      <c r="W424" s="16">
        <f>IF(A424="","",IF(P424=TRUE,0,IFERROR(L424,0)))</f>
        <v/>
      </c>
      <c r="X424" s="16">
        <f>IF(A424="","",IF(P424=TRUE,0,IFERROR(H424,0)+IFERROR(I424,0)+IFERROR(L424,0)))</f>
        <v/>
      </c>
      <c r="Y424" s="16">
        <f>IF(A424="",0,IF(G424=TRUE,IFERROR(H424,0)+IFERROR(I424,0)+IFERROR(J424,0)+IFERROR(K424,0)+IFERROR(L424,0),0))</f>
        <v/>
      </c>
      <c r="Z424" s="16">
        <f>IF(A424="",0,IF(AND(O424=TRUE,G424&lt;&gt;TRUE),IFERROR(H424,0)+IFERROR(I424,0)+IFERROR(J424,0)+IFERROR(K424,0)+IFERROR(L424,0),0))</f>
        <v/>
      </c>
    </row>
    <row r="425">
      <c r="A425" s="10" t="n"/>
      <c r="B425" s="10" t="n"/>
      <c r="C425" s="11" t="n"/>
      <c r="D425" s="11" t="n"/>
      <c r="E425" s="10" t="n"/>
      <c r="F425" s="10" t="n"/>
      <c r="G425" s="12" t="n"/>
      <c r="H425" s="13" t="n"/>
      <c r="I425" s="13" t="n"/>
      <c r="J425" s="13" t="n"/>
      <c r="K425" s="13" t="n"/>
      <c r="L425" s="13" t="n"/>
      <c r="M425" s="14">
        <f>IFERROR(IF(A425="","",IFERROR(VLOOKUP(A425,Raw_PriorMonth!A:E,5,FALSE),0)),0)</f>
        <v/>
      </c>
      <c r="N425" s="14">
        <f>IF(A425="","",IFERROR(E425,0)+IFERROR(M425,0))</f>
        <v/>
      </c>
      <c r="O425" s="15">
        <f>IF(A425="","",IF(N425&gt;=28,TRUE,FALSE))</f>
        <v/>
      </c>
      <c r="P425" s="15">
        <f>IF(A425="","",OR(G425=TRUE,O425=TRUE))</f>
        <v/>
      </c>
      <c r="Q425" s="16">
        <f>IF(A425="","",IFERROR(H425,0)+IFERROR(I425,0)+IFERROR(J425,0)+IFERROR(K425,0)+IFERROR(L425,0))</f>
        <v/>
      </c>
      <c r="R425" s="16">
        <f>IF(A425="","",IF(P425=TRUE,0,Q425))</f>
        <v/>
      </c>
      <c r="S425" s="16">
        <f>IF(A425="","",IF(P425=TRUE,0,IFERROR(H425,0)))</f>
        <v/>
      </c>
      <c r="T425" s="16">
        <f>IF(A425="","",IF(P425=TRUE,0,IFERROR(I425,0)))</f>
        <v/>
      </c>
      <c r="U425" s="16">
        <f>IF(A425="","",IF(P425=TRUE,0,IFERROR(J425,0)))</f>
        <v/>
      </c>
      <c r="V425" s="16">
        <f>IF(A425="","",IF(P425=TRUE,0,IFERROR(K425,0)))</f>
        <v/>
      </c>
      <c r="W425" s="16">
        <f>IF(A425="","",IF(P425=TRUE,0,IFERROR(L425,0)))</f>
        <v/>
      </c>
      <c r="X425" s="16">
        <f>IF(A425="","",IF(P425=TRUE,0,IFERROR(H425,0)+IFERROR(I425,0)+IFERROR(L425,0)))</f>
        <v/>
      </c>
      <c r="Y425" s="16">
        <f>IF(A425="",0,IF(G425=TRUE,IFERROR(H425,0)+IFERROR(I425,0)+IFERROR(J425,0)+IFERROR(K425,0)+IFERROR(L425,0),0))</f>
        <v/>
      </c>
      <c r="Z425" s="16">
        <f>IF(A425="",0,IF(AND(O425=TRUE,G425&lt;&gt;TRUE),IFERROR(H425,0)+IFERROR(I425,0)+IFERROR(J425,0)+IFERROR(K425,0)+IFERROR(L425,0),0))</f>
        <v/>
      </c>
    </row>
    <row r="426">
      <c r="A426" s="10" t="n"/>
      <c r="B426" s="10" t="n"/>
      <c r="C426" s="11" t="n"/>
      <c r="D426" s="11" t="n"/>
      <c r="E426" s="10" t="n"/>
      <c r="F426" s="10" t="n"/>
      <c r="G426" s="12" t="n"/>
      <c r="H426" s="13" t="n"/>
      <c r="I426" s="13" t="n"/>
      <c r="J426" s="13" t="n"/>
      <c r="K426" s="13" t="n"/>
      <c r="L426" s="13" t="n"/>
      <c r="M426" s="14">
        <f>IFERROR(IF(A426="","",IFERROR(VLOOKUP(A426,Raw_PriorMonth!A:E,5,FALSE),0)),0)</f>
        <v/>
      </c>
      <c r="N426" s="14">
        <f>IF(A426="","",IFERROR(E426,0)+IFERROR(M426,0))</f>
        <v/>
      </c>
      <c r="O426" s="15">
        <f>IF(A426="","",IF(N426&gt;=28,TRUE,FALSE))</f>
        <v/>
      </c>
      <c r="P426" s="15">
        <f>IF(A426="","",OR(G426=TRUE,O426=TRUE))</f>
        <v/>
      </c>
      <c r="Q426" s="16">
        <f>IF(A426="","",IFERROR(H426,0)+IFERROR(I426,0)+IFERROR(J426,0)+IFERROR(K426,0)+IFERROR(L426,0))</f>
        <v/>
      </c>
      <c r="R426" s="16">
        <f>IF(A426="","",IF(P426=TRUE,0,Q426))</f>
        <v/>
      </c>
      <c r="S426" s="16">
        <f>IF(A426="","",IF(P426=TRUE,0,IFERROR(H426,0)))</f>
        <v/>
      </c>
      <c r="T426" s="16">
        <f>IF(A426="","",IF(P426=TRUE,0,IFERROR(I426,0)))</f>
        <v/>
      </c>
      <c r="U426" s="16">
        <f>IF(A426="","",IF(P426=TRUE,0,IFERROR(J426,0)))</f>
        <v/>
      </c>
      <c r="V426" s="16">
        <f>IF(A426="","",IF(P426=TRUE,0,IFERROR(K426,0)))</f>
        <v/>
      </c>
      <c r="W426" s="16">
        <f>IF(A426="","",IF(P426=TRUE,0,IFERROR(L426,0)))</f>
        <v/>
      </c>
      <c r="X426" s="16">
        <f>IF(A426="","",IF(P426=TRUE,0,IFERROR(H426,0)+IFERROR(I426,0)+IFERROR(L426,0)))</f>
        <v/>
      </c>
      <c r="Y426" s="16">
        <f>IF(A426="",0,IF(G426=TRUE,IFERROR(H426,0)+IFERROR(I426,0)+IFERROR(J426,0)+IFERROR(K426,0)+IFERROR(L426,0),0))</f>
        <v/>
      </c>
      <c r="Z426" s="16">
        <f>IF(A426="",0,IF(AND(O426=TRUE,G426&lt;&gt;TRUE),IFERROR(H426,0)+IFERROR(I426,0)+IFERROR(J426,0)+IFERROR(K426,0)+IFERROR(L426,0),0))</f>
        <v/>
      </c>
    </row>
    <row r="427">
      <c r="A427" s="10" t="n"/>
      <c r="B427" s="10" t="n"/>
      <c r="C427" s="11" t="n"/>
      <c r="D427" s="11" t="n"/>
      <c r="E427" s="10" t="n"/>
      <c r="F427" s="10" t="n"/>
      <c r="G427" s="12" t="n"/>
      <c r="H427" s="13" t="n"/>
      <c r="I427" s="13" t="n"/>
      <c r="J427" s="13" t="n"/>
      <c r="K427" s="13" t="n"/>
      <c r="L427" s="13" t="n"/>
      <c r="M427" s="14">
        <f>IFERROR(IF(A427="","",IFERROR(VLOOKUP(A427,Raw_PriorMonth!A:E,5,FALSE),0)),0)</f>
        <v/>
      </c>
      <c r="N427" s="14">
        <f>IF(A427="","",IFERROR(E427,0)+IFERROR(M427,0))</f>
        <v/>
      </c>
      <c r="O427" s="15">
        <f>IF(A427="","",IF(N427&gt;=28,TRUE,FALSE))</f>
        <v/>
      </c>
      <c r="P427" s="15">
        <f>IF(A427="","",OR(G427=TRUE,O427=TRUE))</f>
        <v/>
      </c>
      <c r="Q427" s="16">
        <f>IF(A427="","",IFERROR(H427,0)+IFERROR(I427,0)+IFERROR(J427,0)+IFERROR(K427,0)+IFERROR(L427,0))</f>
        <v/>
      </c>
      <c r="R427" s="16">
        <f>IF(A427="","",IF(P427=TRUE,0,Q427))</f>
        <v/>
      </c>
      <c r="S427" s="16">
        <f>IF(A427="","",IF(P427=TRUE,0,IFERROR(H427,0)))</f>
        <v/>
      </c>
      <c r="T427" s="16">
        <f>IF(A427="","",IF(P427=TRUE,0,IFERROR(I427,0)))</f>
        <v/>
      </c>
      <c r="U427" s="16">
        <f>IF(A427="","",IF(P427=TRUE,0,IFERROR(J427,0)))</f>
        <v/>
      </c>
      <c r="V427" s="16">
        <f>IF(A427="","",IF(P427=TRUE,0,IFERROR(K427,0)))</f>
        <v/>
      </c>
      <c r="W427" s="16">
        <f>IF(A427="","",IF(P427=TRUE,0,IFERROR(L427,0)))</f>
        <v/>
      </c>
      <c r="X427" s="16">
        <f>IF(A427="","",IF(P427=TRUE,0,IFERROR(H427,0)+IFERROR(I427,0)+IFERROR(L427,0)))</f>
        <v/>
      </c>
      <c r="Y427" s="16">
        <f>IF(A427="",0,IF(G427=TRUE,IFERROR(H427,0)+IFERROR(I427,0)+IFERROR(J427,0)+IFERROR(K427,0)+IFERROR(L427,0),0))</f>
        <v/>
      </c>
      <c r="Z427" s="16">
        <f>IF(A427="",0,IF(AND(O427=TRUE,G427&lt;&gt;TRUE),IFERROR(H427,0)+IFERROR(I427,0)+IFERROR(J427,0)+IFERROR(K427,0)+IFERROR(L427,0),0))</f>
        <v/>
      </c>
    </row>
    <row r="428">
      <c r="A428" s="10" t="n"/>
      <c r="B428" s="10" t="n"/>
      <c r="C428" s="11" t="n"/>
      <c r="D428" s="11" t="n"/>
      <c r="E428" s="10" t="n"/>
      <c r="F428" s="10" t="n"/>
      <c r="G428" s="12" t="n"/>
      <c r="H428" s="13" t="n"/>
      <c r="I428" s="13" t="n"/>
      <c r="J428" s="13" t="n"/>
      <c r="K428" s="13" t="n"/>
      <c r="L428" s="13" t="n"/>
      <c r="M428" s="14">
        <f>IFERROR(IF(A428="","",IFERROR(VLOOKUP(A428,Raw_PriorMonth!A:E,5,FALSE),0)),0)</f>
        <v/>
      </c>
      <c r="N428" s="14">
        <f>IF(A428="","",IFERROR(E428,0)+IFERROR(M428,0))</f>
        <v/>
      </c>
      <c r="O428" s="15">
        <f>IF(A428="","",IF(N428&gt;=28,TRUE,FALSE))</f>
        <v/>
      </c>
      <c r="P428" s="15">
        <f>IF(A428="","",OR(G428=TRUE,O428=TRUE))</f>
        <v/>
      </c>
      <c r="Q428" s="16">
        <f>IF(A428="","",IFERROR(H428,0)+IFERROR(I428,0)+IFERROR(J428,0)+IFERROR(K428,0)+IFERROR(L428,0))</f>
        <v/>
      </c>
      <c r="R428" s="16">
        <f>IF(A428="","",IF(P428=TRUE,0,Q428))</f>
        <v/>
      </c>
      <c r="S428" s="16">
        <f>IF(A428="","",IF(P428=TRUE,0,IFERROR(H428,0)))</f>
        <v/>
      </c>
      <c r="T428" s="16">
        <f>IF(A428="","",IF(P428=TRUE,0,IFERROR(I428,0)))</f>
        <v/>
      </c>
      <c r="U428" s="16">
        <f>IF(A428="","",IF(P428=TRUE,0,IFERROR(J428,0)))</f>
        <v/>
      </c>
      <c r="V428" s="16">
        <f>IF(A428="","",IF(P428=TRUE,0,IFERROR(K428,0)))</f>
        <v/>
      </c>
      <c r="W428" s="16">
        <f>IF(A428="","",IF(P428=TRUE,0,IFERROR(L428,0)))</f>
        <v/>
      </c>
      <c r="X428" s="16">
        <f>IF(A428="","",IF(P428=TRUE,0,IFERROR(H428,0)+IFERROR(I428,0)+IFERROR(L428,0)))</f>
        <v/>
      </c>
      <c r="Y428" s="16">
        <f>IF(A428="",0,IF(G428=TRUE,IFERROR(H428,0)+IFERROR(I428,0)+IFERROR(J428,0)+IFERROR(K428,0)+IFERROR(L428,0),0))</f>
        <v/>
      </c>
      <c r="Z428" s="16">
        <f>IF(A428="",0,IF(AND(O428=TRUE,G428&lt;&gt;TRUE),IFERROR(H428,0)+IFERROR(I428,0)+IFERROR(J428,0)+IFERROR(K428,0)+IFERROR(L428,0),0))</f>
        <v/>
      </c>
    </row>
    <row r="429">
      <c r="A429" s="10" t="n"/>
      <c r="B429" s="10" t="n"/>
      <c r="C429" s="11" t="n"/>
      <c r="D429" s="11" t="n"/>
      <c r="E429" s="10" t="n"/>
      <c r="F429" s="10" t="n"/>
      <c r="G429" s="12" t="n"/>
      <c r="H429" s="13" t="n"/>
      <c r="I429" s="13" t="n"/>
      <c r="J429" s="13" t="n"/>
      <c r="K429" s="13" t="n"/>
      <c r="L429" s="13" t="n"/>
      <c r="M429" s="14">
        <f>IFERROR(IF(A429="","",IFERROR(VLOOKUP(A429,Raw_PriorMonth!A:E,5,FALSE),0)),0)</f>
        <v/>
      </c>
      <c r="N429" s="14">
        <f>IF(A429="","",IFERROR(E429,0)+IFERROR(M429,0))</f>
        <v/>
      </c>
      <c r="O429" s="15">
        <f>IF(A429="","",IF(N429&gt;=28,TRUE,FALSE))</f>
        <v/>
      </c>
      <c r="P429" s="15">
        <f>IF(A429="","",OR(G429=TRUE,O429=TRUE))</f>
        <v/>
      </c>
      <c r="Q429" s="16">
        <f>IF(A429="","",IFERROR(H429,0)+IFERROR(I429,0)+IFERROR(J429,0)+IFERROR(K429,0)+IFERROR(L429,0))</f>
        <v/>
      </c>
      <c r="R429" s="16">
        <f>IF(A429="","",IF(P429=TRUE,0,Q429))</f>
        <v/>
      </c>
      <c r="S429" s="16">
        <f>IF(A429="","",IF(P429=TRUE,0,IFERROR(H429,0)))</f>
        <v/>
      </c>
      <c r="T429" s="16">
        <f>IF(A429="","",IF(P429=TRUE,0,IFERROR(I429,0)))</f>
        <v/>
      </c>
      <c r="U429" s="16">
        <f>IF(A429="","",IF(P429=TRUE,0,IFERROR(J429,0)))</f>
        <v/>
      </c>
      <c r="V429" s="16">
        <f>IF(A429="","",IF(P429=TRUE,0,IFERROR(K429,0)))</f>
        <v/>
      </c>
      <c r="W429" s="16">
        <f>IF(A429="","",IF(P429=TRUE,0,IFERROR(L429,0)))</f>
        <v/>
      </c>
      <c r="X429" s="16">
        <f>IF(A429="","",IF(P429=TRUE,0,IFERROR(H429,0)+IFERROR(I429,0)+IFERROR(L429,0)))</f>
        <v/>
      </c>
      <c r="Y429" s="16">
        <f>IF(A429="",0,IF(G429=TRUE,IFERROR(H429,0)+IFERROR(I429,0)+IFERROR(J429,0)+IFERROR(K429,0)+IFERROR(L429,0),0))</f>
        <v/>
      </c>
      <c r="Z429" s="16">
        <f>IF(A429="",0,IF(AND(O429=TRUE,G429&lt;&gt;TRUE),IFERROR(H429,0)+IFERROR(I429,0)+IFERROR(J429,0)+IFERROR(K429,0)+IFERROR(L429,0),0))</f>
        <v/>
      </c>
    </row>
    <row r="430">
      <c r="A430" s="10" t="n"/>
      <c r="B430" s="10" t="n"/>
      <c r="C430" s="11" t="n"/>
      <c r="D430" s="11" t="n"/>
      <c r="E430" s="10" t="n"/>
      <c r="F430" s="10" t="n"/>
      <c r="G430" s="12" t="n"/>
      <c r="H430" s="13" t="n"/>
      <c r="I430" s="13" t="n"/>
      <c r="J430" s="13" t="n"/>
      <c r="K430" s="13" t="n"/>
      <c r="L430" s="13" t="n"/>
      <c r="M430" s="14">
        <f>IFERROR(IF(A430="","",IFERROR(VLOOKUP(A430,Raw_PriorMonth!A:E,5,FALSE),0)),0)</f>
        <v/>
      </c>
      <c r="N430" s="14">
        <f>IF(A430="","",IFERROR(E430,0)+IFERROR(M430,0))</f>
        <v/>
      </c>
      <c r="O430" s="15">
        <f>IF(A430="","",IF(N430&gt;=28,TRUE,FALSE))</f>
        <v/>
      </c>
      <c r="P430" s="15">
        <f>IF(A430="","",OR(G430=TRUE,O430=TRUE))</f>
        <v/>
      </c>
      <c r="Q430" s="16">
        <f>IF(A430="","",IFERROR(H430,0)+IFERROR(I430,0)+IFERROR(J430,0)+IFERROR(K430,0)+IFERROR(L430,0))</f>
        <v/>
      </c>
      <c r="R430" s="16">
        <f>IF(A430="","",IF(P430=TRUE,0,Q430))</f>
        <v/>
      </c>
      <c r="S430" s="16">
        <f>IF(A430="","",IF(P430=TRUE,0,IFERROR(H430,0)))</f>
        <v/>
      </c>
      <c r="T430" s="16">
        <f>IF(A430="","",IF(P430=TRUE,0,IFERROR(I430,0)))</f>
        <v/>
      </c>
      <c r="U430" s="16">
        <f>IF(A430="","",IF(P430=TRUE,0,IFERROR(J430,0)))</f>
        <v/>
      </c>
      <c r="V430" s="16">
        <f>IF(A430="","",IF(P430=TRUE,0,IFERROR(K430,0)))</f>
        <v/>
      </c>
      <c r="W430" s="16">
        <f>IF(A430="","",IF(P430=TRUE,0,IFERROR(L430,0)))</f>
        <v/>
      </c>
      <c r="X430" s="16">
        <f>IF(A430="","",IF(P430=TRUE,0,IFERROR(H430,0)+IFERROR(I430,0)+IFERROR(L430,0)))</f>
        <v/>
      </c>
      <c r="Y430" s="16">
        <f>IF(A430="",0,IF(G430=TRUE,IFERROR(H430,0)+IFERROR(I430,0)+IFERROR(J430,0)+IFERROR(K430,0)+IFERROR(L430,0),0))</f>
        <v/>
      </c>
      <c r="Z430" s="16">
        <f>IF(A430="",0,IF(AND(O430=TRUE,G430&lt;&gt;TRUE),IFERROR(H430,0)+IFERROR(I430,0)+IFERROR(J430,0)+IFERROR(K430,0)+IFERROR(L430,0),0))</f>
        <v/>
      </c>
    </row>
    <row r="431">
      <c r="A431" s="10" t="n"/>
      <c r="B431" s="10" t="n"/>
      <c r="C431" s="11" t="n"/>
      <c r="D431" s="11" t="n"/>
      <c r="E431" s="10" t="n"/>
      <c r="F431" s="10" t="n"/>
      <c r="G431" s="12" t="n"/>
      <c r="H431" s="13" t="n"/>
      <c r="I431" s="13" t="n"/>
      <c r="J431" s="13" t="n"/>
      <c r="K431" s="13" t="n"/>
      <c r="L431" s="13" t="n"/>
      <c r="M431" s="14">
        <f>IFERROR(IF(A431="","",IFERROR(VLOOKUP(A431,Raw_PriorMonth!A:E,5,FALSE),0)),0)</f>
        <v/>
      </c>
      <c r="N431" s="14">
        <f>IF(A431="","",IFERROR(E431,0)+IFERROR(M431,0))</f>
        <v/>
      </c>
      <c r="O431" s="15">
        <f>IF(A431="","",IF(N431&gt;=28,TRUE,FALSE))</f>
        <v/>
      </c>
      <c r="P431" s="15">
        <f>IF(A431="","",OR(G431=TRUE,O431=TRUE))</f>
        <v/>
      </c>
      <c r="Q431" s="16">
        <f>IF(A431="","",IFERROR(H431,0)+IFERROR(I431,0)+IFERROR(J431,0)+IFERROR(K431,0)+IFERROR(L431,0))</f>
        <v/>
      </c>
      <c r="R431" s="16">
        <f>IF(A431="","",IF(P431=TRUE,0,Q431))</f>
        <v/>
      </c>
      <c r="S431" s="16">
        <f>IF(A431="","",IF(P431=TRUE,0,IFERROR(H431,0)))</f>
        <v/>
      </c>
      <c r="T431" s="16">
        <f>IF(A431="","",IF(P431=TRUE,0,IFERROR(I431,0)))</f>
        <v/>
      </c>
      <c r="U431" s="16">
        <f>IF(A431="","",IF(P431=TRUE,0,IFERROR(J431,0)))</f>
        <v/>
      </c>
      <c r="V431" s="16">
        <f>IF(A431="","",IF(P431=TRUE,0,IFERROR(K431,0)))</f>
        <v/>
      </c>
      <c r="W431" s="16">
        <f>IF(A431="","",IF(P431=TRUE,0,IFERROR(L431,0)))</f>
        <v/>
      </c>
      <c r="X431" s="16">
        <f>IF(A431="","",IF(P431=TRUE,0,IFERROR(H431,0)+IFERROR(I431,0)+IFERROR(L431,0)))</f>
        <v/>
      </c>
      <c r="Y431" s="16">
        <f>IF(A431="",0,IF(G431=TRUE,IFERROR(H431,0)+IFERROR(I431,0)+IFERROR(J431,0)+IFERROR(K431,0)+IFERROR(L431,0),0))</f>
        <v/>
      </c>
      <c r="Z431" s="16">
        <f>IF(A431="",0,IF(AND(O431=TRUE,G431&lt;&gt;TRUE),IFERROR(H431,0)+IFERROR(I431,0)+IFERROR(J431,0)+IFERROR(K431,0)+IFERROR(L431,0),0))</f>
        <v/>
      </c>
    </row>
    <row r="432">
      <c r="A432" s="10" t="n"/>
      <c r="B432" s="10" t="n"/>
      <c r="C432" s="11" t="n"/>
      <c r="D432" s="11" t="n"/>
      <c r="E432" s="10" t="n"/>
      <c r="F432" s="10" t="n"/>
      <c r="G432" s="12" t="n"/>
      <c r="H432" s="13" t="n"/>
      <c r="I432" s="13" t="n"/>
      <c r="J432" s="13" t="n"/>
      <c r="K432" s="13" t="n"/>
      <c r="L432" s="13" t="n"/>
      <c r="M432" s="14">
        <f>IFERROR(IF(A432="","",IFERROR(VLOOKUP(A432,Raw_PriorMonth!A:E,5,FALSE),0)),0)</f>
        <v/>
      </c>
      <c r="N432" s="14">
        <f>IF(A432="","",IFERROR(E432,0)+IFERROR(M432,0))</f>
        <v/>
      </c>
      <c r="O432" s="15">
        <f>IF(A432="","",IF(N432&gt;=28,TRUE,FALSE))</f>
        <v/>
      </c>
      <c r="P432" s="15">
        <f>IF(A432="","",OR(G432=TRUE,O432=TRUE))</f>
        <v/>
      </c>
      <c r="Q432" s="16">
        <f>IF(A432="","",IFERROR(H432,0)+IFERROR(I432,0)+IFERROR(J432,0)+IFERROR(K432,0)+IFERROR(L432,0))</f>
        <v/>
      </c>
      <c r="R432" s="16">
        <f>IF(A432="","",IF(P432=TRUE,0,Q432))</f>
        <v/>
      </c>
      <c r="S432" s="16">
        <f>IF(A432="","",IF(P432=TRUE,0,IFERROR(H432,0)))</f>
        <v/>
      </c>
      <c r="T432" s="16">
        <f>IF(A432="","",IF(P432=TRUE,0,IFERROR(I432,0)))</f>
        <v/>
      </c>
      <c r="U432" s="16">
        <f>IF(A432="","",IF(P432=TRUE,0,IFERROR(J432,0)))</f>
        <v/>
      </c>
      <c r="V432" s="16">
        <f>IF(A432="","",IF(P432=TRUE,0,IFERROR(K432,0)))</f>
        <v/>
      </c>
      <c r="W432" s="16">
        <f>IF(A432="","",IF(P432=TRUE,0,IFERROR(L432,0)))</f>
        <v/>
      </c>
      <c r="X432" s="16">
        <f>IF(A432="","",IF(P432=TRUE,0,IFERROR(H432,0)+IFERROR(I432,0)+IFERROR(L432,0)))</f>
        <v/>
      </c>
      <c r="Y432" s="16">
        <f>IF(A432="",0,IF(G432=TRUE,IFERROR(H432,0)+IFERROR(I432,0)+IFERROR(J432,0)+IFERROR(K432,0)+IFERROR(L432,0),0))</f>
        <v/>
      </c>
      <c r="Z432" s="16">
        <f>IF(A432="",0,IF(AND(O432=TRUE,G432&lt;&gt;TRUE),IFERROR(H432,0)+IFERROR(I432,0)+IFERROR(J432,0)+IFERROR(K432,0)+IFERROR(L432,0),0))</f>
        <v/>
      </c>
    </row>
    <row r="433">
      <c r="A433" s="10" t="n"/>
      <c r="B433" s="10" t="n"/>
      <c r="C433" s="11" t="n"/>
      <c r="D433" s="11" t="n"/>
      <c r="E433" s="10" t="n"/>
      <c r="F433" s="10" t="n"/>
      <c r="G433" s="12" t="n"/>
      <c r="H433" s="13" t="n"/>
      <c r="I433" s="13" t="n"/>
      <c r="J433" s="13" t="n"/>
      <c r="K433" s="13" t="n"/>
      <c r="L433" s="13" t="n"/>
      <c r="M433" s="14">
        <f>IFERROR(IF(A433="","",IFERROR(VLOOKUP(A433,Raw_PriorMonth!A:E,5,FALSE),0)),0)</f>
        <v/>
      </c>
      <c r="N433" s="14">
        <f>IF(A433="","",IFERROR(E433,0)+IFERROR(M433,0))</f>
        <v/>
      </c>
      <c r="O433" s="15">
        <f>IF(A433="","",IF(N433&gt;=28,TRUE,FALSE))</f>
        <v/>
      </c>
      <c r="P433" s="15">
        <f>IF(A433="","",OR(G433=TRUE,O433=TRUE))</f>
        <v/>
      </c>
      <c r="Q433" s="16">
        <f>IF(A433="","",IFERROR(H433,0)+IFERROR(I433,0)+IFERROR(J433,0)+IFERROR(K433,0)+IFERROR(L433,0))</f>
        <v/>
      </c>
      <c r="R433" s="16">
        <f>IF(A433="","",IF(P433=TRUE,0,Q433))</f>
        <v/>
      </c>
      <c r="S433" s="16">
        <f>IF(A433="","",IF(P433=TRUE,0,IFERROR(H433,0)))</f>
        <v/>
      </c>
      <c r="T433" s="16">
        <f>IF(A433="","",IF(P433=TRUE,0,IFERROR(I433,0)))</f>
        <v/>
      </c>
      <c r="U433" s="16">
        <f>IF(A433="","",IF(P433=TRUE,0,IFERROR(J433,0)))</f>
        <v/>
      </c>
      <c r="V433" s="16">
        <f>IF(A433="","",IF(P433=TRUE,0,IFERROR(K433,0)))</f>
        <v/>
      </c>
      <c r="W433" s="16">
        <f>IF(A433="","",IF(P433=TRUE,0,IFERROR(L433,0)))</f>
        <v/>
      </c>
      <c r="X433" s="16">
        <f>IF(A433="","",IF(P433=TRUE,0,IFERROR(H433,0)+IFERROR(I433,0)+IFERROR(L433,0)))</f>
        <v/>
      </c>
      <c r="Y433" s="16">
        <f>IF(A433="",0,IF(G433=TRUE,IFERROR(H433,0)+IFERROR(I433,0)+IFERROR(J433,0)+IFERROR(K433,0)+IFERROR(L433,0),0))</f>
        <v/>
      </c>
      <c r="Z433" s="16">
        <f>IF(A433="",0,IF(AND(O433=TRUE,G433&lt;&gt;TRUE),IFERROR(H433,0)+IFERROR(I433,0)+IFERROR(J433,0)+IFERROR(K433,0)+IFERROR(L433,0),0))</f>
        <v/>
      </c>
    </row>
    <row r="434">
      <c r="A434" s="10" t="n"/>
      <c r="B434" s="10" t="n"/>
      <c r="C434" s="11" t="n"/>
      <c r="D434" s="11" t="n"/>
      <c r="E434" s="10" t="n"/>
      <c r="F434" s="10" t="n"/>
      <c r="G434" s="12" t="n"/>
      <c r="H434" s="13" t="n"/>
      <c r="I434" s="13" t="n"/>
      <c r="J434" s="13" t="n"/>
      <c r="K434" s="13" t="n"/>
      <c r="L434" s="13" t="n"/>
      <c r="M434" s="14">
        <f>IFERROR(IF(A434="","",IFERROR(VLOOKUP(A434,Raw_PriorMonth!A:E,5,FALSE),0)),0)</f>
        <v/>
      </c>
      <c r="N434" s="14">
        <f>IF(A434="","",IFERROR(E434,0)+IFERROR(M434,0))</f>
        <v/>
      </c>
      <c r="O434" s="15">
        <f>IF(A434="","",IF(N434&gt;=28,TRUE,FALSE))</f>
        <v/>
      </c>
      <c r="P434" s="15">
        <f>IF(A434="","",OR(G434=TRUE,O434=TRUE))</f>
        <v/>
      </c>
      <c r="Q434" s="16">
        <f>IF(A434="","",IFERROR(H434,0)+IFERROR(I434,0)+IFERROR(J434,0)+IFERROR(K434,0)+IFERROR(L434,0))</f>
        <v/>
      </c>
      <c r="R434" s="16">
        <f>IF(A434="","",IF(P434=TRUE,0,Q434))</f>
        <v/>
      </c>
      <c r="S434" s="16">
        <f>IF(A434="","",IF(P434=TRUE,0,IFERROR(H434,0)))</f>
        <v/>
      </c>
      <c r="T434" s="16">
        <f>IF(A434="","",IF(P434=TRUE,0,IFERROR(I434,0)))</f>
        <v/>
      </c>
      <c r="U434" s="16">
        <f>IF(A434="","",IF(P434=TRUE,0,IFERROR(J434,0)))</f>
        <v/>
      </c>
      <c r="V434" s="16">
        <f>IF(A434="","",IF(P434=TRUE,0,IFERROR(K434,0)))</f>
        <v/>
      </c>
      <c r="W434" s="16">
        <f>IF(A434="","",IF(P434=TRUE,0,IFERROR(L434,0)))</f>
        <v/>
      </c>
      <c r="X434" s="16">
        <f>IF(A434="","",IF(P434=TRUE,0,IFERROR(H434,0)+IFERROR(I434,0)+IFERROR(L434,0)))</f>
        <v/>
      </c>
      <c r="Y434" s="16">
        <f>IF(A434="",0,IF(G434=TRUE,IFERROR(H434,0)+IFERROR(I434,0)+IFERROR(J434,0)+IFERROR(K434,0)+IFERROR(L434,0),0))</f>
        <v/>
      </c>
      <c r="Z434" s="16">
        <f>IF(A434="",0,IF(AND(O434=TRUE,G434&lt;&gt;TRUE),IFERROR(H434,0)+IFERROR(I434,0)+IFERROR(J434,0)+IFERROR(K434,0)+IFERROR(L434,0),0))</f>
        <v/>
      </c>
    </row>
    <row r="435">
      <c r="A435" s="10" t="n"/>
      <c r="B435" s="10" t="n"/>
      <c r="C435" s="11" t="n"/>
      <c r="D435" s="11" t="n"/>
      <c r="E435" s="10" t="n"/>
      <c r="F435" s="10" t="n"/>
      <c r="G435" s="12" t="n"/>
      <c r="H435" s="13" t="n"/>
      <c r="I435" s="13" t="n"/>
      <c r="J435" s="13" t="n"/>
      <c r="K435" s="13" t="n"/>
      <c r="L435" s="13" t="n"/>
      <c r="M435" s="14">
        <f>IFERROR(IF(A435="","",IFERROR(VLOOKUP(A435,Raw_PriorMonth!A:E,5,FALSE),0)),0)</f>
        <v/>
      </c>
      <c r="N435" s="14">
        <f>IF(A435="","",IFERROR(E435,0)+IFERROR(M435,0))</f>
        <v/>
      </c>
      <c r="O435" s="15">
        <f>IF(A435="","",IF(N435&gt;=28,TRUE,FALSE))</f>
        <v/>
      </c>
      <c r="P435" s="15">
        <f>IF(A435="","",OR(G435=TRUE,O435=TRUE))</f>
        <v/>
      </c>
      <c r="Q435" s="16">
        <f>IF(A435="","",IFERROR(H435,0)+IFERROR(I435,0)+IFERROR(J435,0)+IFERROR(K435,0)+IFERROR(L435,0))</f>
        <v/>
      </c>
      <c r="R435" s="16">
        <f>IF(A435="","",IF(P435=TRUE,0,Q435))</f>
        <v/>
      </c>
      <c r="S435" s="16">
        <f>IF(A435="","",IF(P435=TRUE,0,IFERROR(H435,0)))</f>
        <v/>
      </c>
      <c r="T435" s="16">
        <f>IF(A435="","",IF(P435=TRUE,0,IFERROR(I435,0)))</f>
        <v/>
      </c>
      <c r="U435" s="16">
        <f>IF(A435="","",IF(P435=TRUE,0,IFERROR(J435,0)))</f>
        <v/>
      </c>
      <c r="V435" s="16">
        <f>IF(A435="","",IF(P435=TRUE,0,IFERROR(K435,0)))</f>
        <v/>
      </c>
      <c r="W435" s="16">
        <f>IF(A435="","",IF(P435=TRUE,0,IFERROR(L435,0)))</f>
        <v/>
      </c>
      <c r="X435" s="16">
        <f>IF(A435="","",IF(P435=TRUE,0,IFERROR(H435,0)+IFERROR(I435,0)+IFERROR(L435,0)))</f>
        <v/>
      </c>
      <c r="Y435" s="16">
        <f>IF(A435="",0,IF(G435=TRUE,IFERROR(H435,0)+IFERROR(I435,0)+IFERROR(J435,0)+IFERROR(K435,0)+IFERROR(L435,0),0))</f>
        <v/>
      </c>
      <c r="Z435" s="16">
        <f>IF(A435="",0,IF(AND(O435=TRUE,G435&lt;&gt;TRUE),IFERROR(H435,0)+IFERROR(I435,0)+IFERROR(J435,0)+IFERROR(K435,0)+IFERROR(L435,0),0))</f>
        <v/>
      </c>
    </row>
    <row r="436">
      <c r="A436" s="10" t="n"/>
      <c r="B436" s="10" t="n"/>
      <c r="C436" s="11" t="n"/>
      <c r="D436" s="11" t="n"/>
      <c r="E436" s="10" t="n"/>
      <c r="F436" s="10" t="n"/>
      <c r="G436" s="12" t="n"/>
      <c r="H436" s="13" t="n"/>
      <c r="I436" s="13" t="n"/>
      <c r="J436" s="13" t="n"/>
      <c r="K436" s="13" t="n"/>
      <c r="L436" s="13" t="n"/>
      <c r="M436" s="14">
        <f>IFERROR(IF(A436="","",IFERROR(VLOOKUP(A436,Raw_PriorMonth!A:E,5,FALSE),0)),0)</f>
        <v/>
      </c>
      <c r="N436" s="14">
        <f>IF(A436="","",IFERROR(E436,0)+IFERROR(M436,0))</f>
        <v/>
      </c>
      <c r="O436" s="15">
        <f>IF(A436="","",IF(N436&gt;=28,TRUE,FALSE))</f>
        <v/>
      </c>
      <c r="P436" s="15">
        <f>IF(A436="","",OR(G436=TRUE,O436=TRUE))</f>
        <v/>
      </c>
      <c r="Q436" s="16">
        <f>IF(A436="","",IFERROR(H436,0)+IFERROR(I436,0)+IFERROR(J436,0)+IFERROR(K436,0)+IFERROR(L436,0))</f>
        <v/>
      </c>
      <c r="R436" s="16">
        <f>IF(A436="","",IF(P436=TRUE,0,Q436))</f>
        <v/>
      </c>
      <c r="S436" s="16">
        <f>IF(A436="","",IF(P436=TRUE,0,IFERROR(H436,0)))</f>
        <v/>
      </c>
      <c r="T436" s="16">
        <f>IF(A436="","",IF(P436=TRUE,0,IFERROR(I436,0)))</f>
        <v/>
      </c>
      <c r="U436" s="16">
        <f>IF(A436="","",IF(P436=TRUE,0,IFERROR(J436,0)))</f>
        <v/>
      </c>
      <c r="V436" s="16">
        <f>IF(A436="","",IF(P436=TRUE,0,IFERROR(K436,0)))</f>
        <v/>
      </c>
      <c r="W436" s="16">
        <f>IF(A436="","",IF(P436=TRUE,0,IFERROR(L436,0)))</f>
        <v/>
      </c>
      <c r="X436" s="16">
        <f>IF(A436="","",IF(P436=TRUE,0,IFERROR(H436,0)+IFERROR(I436,0)+IFERROR(L436,0)))</f>
        <v/>
      </c>
      <c r="Y436" s="16">
        <f>IF(A436="",0,IF(G436=TRUE,IFERROR(H436,0)+IFERROR(I436,0)+IFERROR(J436,0)+IFERROR(K436,0)+IFERROR(L436,0),0))</f>
        <v/>
      </c>
      <c r="Z436" s="16">
        <f>IF(A436="",0,IF(AND(O436=TRUE,G436&lt;&gt;TRUE),IFERROR(H436,0)+IFERROR(I436,0)+IFERROR(J436,0)+IFERROR(K436,0)+IFERROR(L436,0),0))</f>
        <v/>
      </c>
    </row>
    <row r="437">
      <c r="A437" s="10" t="n"/>
      <c r="B437" s="10" t="n"/>
      <c r="C437" s="11" t="n"/>
      <c r="D437" s="11" t="n"/>
      <c r="E437" s="10" t="n"/>
      <c r="F437" s="10" t="n"/>
      <c r="G437" s="12" t="n"/>
      <c r="H437" s="13" t="n"/>
      <c r="I437" s="13" t="n"/>
      <c r="J437" s="13" t="n"/>
      <c r="K437" s="13" t="n"/>
      <c r="L437" s="13" t="n"/>
      <c r="M437" s="14">
        <f>IFERROR(IF(A437="","",IFERROR(VLOOKUP(A437,Raw_PriorMonth!A:E,5,FALSE),0)),0)</f>
        <v/>
      </c>
      <c r="N437" s="14">
        <f>IF(A437="","",IFERROR(E437,0)+IFERROR(M437,0))</f>
        <v/>
      </c>
      <c r="O437" s="15">
        <f>IF(A437="","",IF(N437&gt;=28,TRUE,FALSE))</f>
        <v/>
      </c>
      <c r="P437" s="15">
        <f>IF(A437="","",OR(G437=TRUE,O437=TRUE))</f>
        <v/>
      </c>
      <c r="Q437" s="16">
        <f>IF(A437="","",IFERROR(H437,0)+IFERROR(I437,0)+IFERROR(J437,0)+IFERROR(K437,0)+IFERROR(L437,0))</f>
        <v/>
      </c>
      <c r="R437" s="16">
        <f>IF(A437="","",IF(P437=TRUE,0,Q437))</f>
        <v/>
      </c>
      <c r="S437" s="16">
        <f>IF(A437="","",IF(P437=TRUE,0,IFERROR(H437,0)))</f>
        <v/>
      </c>
      <c r="T437" s="16">
        <f>IF(A437="","",IF(P437=TRUE,0,IFERROR(I437,0)))</f>
        <v/>
      </c>
      <c r="U437" s="16">
        <f>IF(A437="","",IF(P437=TRUE,0,IFERROR(J437,0)))</f>
        <v/>
      </c>
      <c r="V437" s="16">
        <f>IF(A437="","",IF(P437=TRUE,0,IFERROR(K437,0)))</f>
        <v/>
      </c>
      <c r="W437" s="16">
        <f>IF(A437="","",IF(P437=TRUE,0,IFERROR(L437,0)))</f>
        <v/>
      </c>
      <c r="X437" s="16">
        <f>IF(A437="","",IF(P437=TRUE,0,IFERROR(H437,0)+IFERROR(I437,0)+IFERROR(L437,0)))</f>
        <v/>
      </c>
      <c r="Y437" s="16">
        <f>IF(A437="",0,IF(G437=TRUE,IFERROR(H437,0)+IFERROR(I437,0)+IFERROR(J437,0)+IFERROR(K437,0)+IFERROR(L437,0),0))</f>
        <v/>
      </c>
      <c r="Z437" s="16">
        <f>IF(A437="",0,IF(AND(O437=TRUE,G437&lt;&gt;TRUE),IFERROR(H437,0)+IFERROR(I437,0)+IFERROR(J437,0)+IFERROR(K437,0)+IFERROR(L437,0),0))</f>
        <v/>
      </c>
    </row>
    <row r="438">
      <c r="A438" s="10" t="n"/>
      <c r="B438" s="10" t="n"/>
      <c r="C438" s="11" t="n"/>
      <c r="D438" s="11" t="n"/>
      <c r="E438" s="10" t="n"/>
      <c r="F438" s="10" t="n"/>
      <c r="G438" s="12" t="n"/>
      <c r="H438" s="13" t="n"/>
      <c r="I438" s="13" t="n"/>
      <c r="J438" s="13" t="n"/>
      <c r="K438" s="13" t="n"/>
      <c r="L438" s="13" t="n"/>
      <c r="M438" s="14">
        <f>IFERROR(IF(A438="","",IFERROR(VLOOKUP(A438,Raw_PriorMonth!A:E,5,FALSE),0)),0)</f>
        <v/>
      </c>
      <c r="N438" s="14">
        <f>IF(A438="","",IFERROR(E438,0)+IFERROR(M438,0))</f>
        <v/>
      </c>
      <c r="O438" s="15">
        <f>IF(A438="","",IF(N438&gt;=28,TRUE,FALSE))</f>
        <v/>
      </c>
      <c r="P438" s="15">
        <f>IF(A438="","",OR(G438=TRUE,O438=TRUE))</f>
        <v/>
      </c>
      <c r="Q438" s="16">
        <f>IF(A438="","",IFERROR(H438,0)+IFERROR(I438,0)+IFERROR(J438,0)+IFERROR(K438,0)+IFERROR(L438,0))</f>
        <v/>
      </c>
      <c r="R438" s="16">
        <f>IF(A438="","",IF(P438=TRUE,0,Q438))</f>
        <v/>
      </c>
      <c r="S438" s="16">
        <f>IF(A438="","",IF(P438=TRUE,0,IFERROR(H438,0)))</f>
        <v/>
      </c>
      <c r="T438" s="16">
        <f>IF(A438="","",IF(P438=TRUE,0,IFERROR(I438,0)))</f>
        <v/>
      </c>
      <c r="U438" s="16">
        <f>IF(A438="","",IF(P438=TRUE,0,IFERROR(J438,0)))</f>
        <v/>
      </c>
      <c r="V438" s="16">
        <f>IF(A438="","",IF(P438=TRUE,0,IFERROR(K438,0)))</f>
        <v/>
      </c>
      <c r="W438" s="16">
        <f>IF(A438="","",IF(P438=TRUE,0,IFERROR(L438,0)))</f>
        <v/>
      </c>
      <c r="X438" s="16">
        <f>IF(A438="","",IF(P438=TRUE,0,IFERROR(H438,0)+IFERROR(I438,0)+IFERROR(L438,0)))</f>
        <v/>
      </c>
      <c r="Y438" s="16">
        <f>IF(A438="",0,IF(G438=TRUE,IFERROR(H438,0)+IFERROR(I438,0)+IFERROR(J438,0)+IFERROR(K438,0)+IFERROR(L438,0),0))</f>
        <v/>
      </c>
      <c r="Z438" s="16">
        <f>IF(A438="",0,IF(AND(O438=TRUE,G438&lt;&gt;TRUE),IFERROR(H438,0)+IFERROR(I438,0)+IFERROR(J438,0)+IFERROR(K438,0)+IFERROR(L438,0),0))</f>
        <v/>
      </c>
    </row>
    <row r="439">
      <c r="A439" s="10" t="n"/>
      <c r="B439" s="10" t="n"/>
      <c r="C439" s="11" t="n"/>
      <c r="D439" s="11" t="n"/>
      <c r="E439" s="10" t="n"/>
      <c r="F439" s="10" t="n"/>
      <c r="G439" s="12" t="n"/>
      <c r="H439" s="13" t="n"/>
      <c r="I439" s="13" t="n"/>
      <c r="J439" s="13" t="n"/>
      <c r="K439" s="13" t="n"/>
      <c r="L439" s="13" t="n"/>
      <c r="M439" s="14">
        <f>IFERROR(IF(A439="","",IFERROR(VLOOKUP(A439,Raw_PriorMonth!A:E,5,FALSE),0)),0)</f>
        <v/>
      </c>
      <c r="N439" s="14">
        <f>IF(A439="","",IFERROR(E439,0)+IFERROR(M439,0))</f>
        <v/>
      </c>
      <c r="O439" s="15">
        <f>IF(A439="","",IF(N439&gt;=28,TRUE,FALSE))</f>
        <v/>
      </c>
      <c r="P439" s="15">
        <f>IF(A439="","",OR(G439=TRUE,O439=TRUE))</f>
        <v/>
      </c>
      <c r="Q439" s="16">
        <f>IF(A439="","",IFERROR(H439,0)+IFERROR(I439,0)+IFERROR(J439,0)+IFERROR(K439,0)+IFERROR(L439,0))</f>
        <v/>
      </c>
      <c r="R439" s="16">
        <f>IF(A439="","",IF(P439=TRUE,0,Q439))</f>
        <v/>
      </c>
      <c r="S439" s="16">
        <f>IF(A439="","",IF(P439=TRUE,0,IFERROR(H439,0)))</f>
        <v/>
      </c>
      <c r="T439" s="16">
        <f>IF(A439="","",IF(P439=TRUE,0,IFERROR(I439,0)))</f>
        <v/>
      </c>
      <c r="U439" s="16">
        <f>IF(A439="","",IF(P439=TRUE,0,IFERROR(J439,0)))</f>
        <v/>
      </c>
      <c r="V439" s="16">
        <f>IF(A439="","",IF(P439=TRUE,0,IFERROR(K439,0)))</f>
        <v/>
      </c>
      <c r="W439" s="16">
        <f>IF(A439="","",IF(P439=TRUE,0,IFERROR(L439,0)))</f>
        <v/>
      </c>
      <c r="X439" s="16">
        <f>IF(A439="","",IF(P439=TRUE,0,IFERROR(H439,0)+IFERROR(I439,0)+IFERROR(L439,0)))</f>
        <v/>
      </c>
      <c r="Y439" s="16">
        <f>IF(A439="",0,IF(G439=TRUE,IFERROR(H439,0)+IFERROR(I439,0)+IFERROR(J439,0)+IFERROR(K439,0)+IFERROR(L439,0),0))</f>
        <v/>
      </c>
      <c r="Z439" s="16">
        <f>IF(A439="",0,IF(AND(O439=TRUE,G439&lt;&gt;TRUE),IFERROR(H439,0)+IFERROR(I439,0)+IFERROR(J439,0)+IFERROR(K439,0)+IFERROR(L439,0),0))</f>
        <v/>
      </c>
    </row>
    <row r="440">
      <c r="A440" s="10" t="n"/>
      <c r="B440" s="10" t="n"/>
      <c r="C440" s="11" t="n"/>
      <c r="D440" s="11" t="n"/>
      <c r="E440" s="10" t="n"/>
      <c r="F440" s="10" t="n"/>
      <c r="G440" s="12" t="n"/>
      <c r="H440" s="13" t="n"/>
      <c r="I440" s="13" t="n"/>
      <c r="J440" s="13" t="n"/>
      <c r="K440" s="13" t="n"/>
      <c r="L440" s="13" t="n"/>
      <c r="M440" s="14">
        <f>IFERROR(IF(A440="","",IFERROR(VLOOKUP(A440,Raw_PriorMonth!A:E,5,FALSE),0)),0)</f>
        <v/>
      </c>
      <c r="N440" s="14">
        <f>IF(A440="","",IFERROR(E440,0)+IFERROR(M440,0))</f>
        <v/>
      </c>
      <c r="O440" s="15">
        <f>IF(A440="","",IF(N440&gt;=28,TRUE,FALSE))</f>
        <v/>
      </c>
      <c r="P440" s="15">
        <f>IF(A440="","",OR(G440=TRUE,O440=TRUE))</f>
        <v/>
      </c>
      <c r="Q440" s="16">
        <f>IF(A440="","",IFERROR(H440,0)+IFERROR(I440,0)+IFERROR(J440,0)+IFERROR(K440,0)+IFERROR(L440,0))</f>
        <v/>
      </c>
      <c r="R440" s="16">
        <f>IF(A440="","",IF(P440=TRUE,0,Q440))</f>
        <v/>
      </c>
      <c r="S440" s="16">
        <f>IF(A440="","",IF(P440=TRUE,0,IFERROR(H440,0)))</f>
        <v/>
      </c>
      <c r="T440" s="16">
        <f>IF(A440="","",IF(P440=TRUE,0,IFERROR(I440,0)))</f>
        <v/>
      </c>
      <c r="U440" s="16">
        <f>IF(A440="","",IF(P440=TRUE,0,IFERROR(J440,0)))</f>
        <v/>
      </c>
      <c r="V440" s="16">
        <f>IF(A440="","",IF(P440=TRUE,0,IFERROR(K440,0)))</f>
        <v/>
      </c>
      <c r="W440" s="16">
        <f>IF(A440="","",IF(P440=TRUE,0,IFERROR(L440,0)))</f>
        <v/>
      </c>
      <c r="X440" s="16">
        <f>IF(A440="","",IF(P440=TRUE,0,IFERROR(H440,0)+IFERROR(I440,0)+IFERROR(L440,0)))</f>
        <v/>
      </c>
      <c r="Y440" s="16">
        <f>IF(A440="",0,IF(G440=TRUE,IFERROR(H440,0)+IFERROR(I440,0)+IFERROR(J440,0)+IFERROR(K440,0)+IFERROR(L440,0),0))</f>
        <v/>
      </c>
      <c r="Z440" s="16">
        <f>IF(A440="",0,IF(AND(O440=TRUE,G440&lt;&gt;TRUE),IFERROR(H440,0)+IFERROR(I440,0)+IFERROR(J440,0)+IFERROR(K440,0)+IFERROR(L440,0),0))</f>
        <v/>
      </c>
    </row>
    <row r="441">
      <c r="A441" s="10" t="n"/>
      <c r="B441" s="10" t="n"/>
      <c r="C441" s="11" t="n"/>
      <c r="D441" s="11" t="n"/>
      <c r="E441" s="10" t="n"/>
      <c r="F441" s="10" t="n"/>
      <c r="G441" s="12" t="n"/>
      <c r="H441" s="13" t="n"/>
      <c r="I441" s="13" t="n"/>
      <c r="J441" s="13" t="n"/>
      <c r="K441" s="13" t="n"/>
      <c r="L441" s="13" t="n"/>
      <c r="M441" s="14">
        <f>IFERROR(IF(A441="","",IFERROR(VLOOKUP(A441,Raw_PriorMonth!A:E,5,FALSE),0)),0)</f>
        <v/>
      </c>
      <c r="N441" s="14">
        <f>IF(A441="","",IFERROR(E441,0)+IFERROR(M441,0))</f>
        <v/>
      </c>
      <c r="O441" s="15">
        <f>IF(A441="","",IF(N441&gt;=28,TRUE,FALSE))</f>
        <v/>
      </c>
      <c r="P441" s="15">
        <f>IF(A441="","",OR(G441=TRUE,O441=TRUE))</f>
        <v/>
      </c>
      <c r="Q441" s="16">
        <f>IF(A441="","",IFERROR(H441,0)+IFERROR(I441,0)+IFERROR(J441,0)+IFERROR(K441,0)+IFERROR(L441,0))</f>
        <v/>
      </c>
      <c r="R441" s="16">
        <f>IF(A441="","",IF(P441=TRUE,0,Q441))</f>
        <v/>
      </c>
      <c r="S441" s="16">
        <f>IF(A441="","",IF(P441=TRUE,0,IFERROR(H441,0)))</f>
        <v/>
      </c>
      <c r="T441" s="16">
        <f>IF(A441="","",IF(P441=TRUE,0,IFERROR(I441,0)))</f>
        <v/>
      </c>
      <c r="U441" s="16">
        <f>IF(A441="","",IF(P441=TRUE,0,IFERROR(J441,0)))</f>
        <v/>
      </c>
      <c r="V441" s="16">
        <f>IF(A441="","",IF(P441=TRUE,0,IFERROR(K441,0)))</f>
        <v/>
      </c>
      <c r="W441" s="16">
        <f>IF(A441="","",IF(P441=TRUE,0,IFERROR(L441,0)))</f>
        <v/>
      </c>
      <c r="X441" s="16">
        <f>IF(A441="","",IF(P441=TRUE,0,IFERROR(H441,0)+IFERROR(I441,0)+IFERROR(L441,0)))</f>
        <v/>
      </c>
      <c r="Y441" s="16">
        <f>IF(A441="",0,IF(G441=TRUE,IFERROR(H441,0)+IFERROR(I441,0)+IFERROR(J441,0)+IFERROR(K441,0)+IFERROR(L441,0),0))</f>
        <v/>
      </c>
      <c r="Z441" s="16">
        <f>IF(A441="",0,IF(AND(O441=TRUE,G441&lt;&gt;TRUE),IFERROR(H441,0)+IFERROR(I441,0)+IFERROR(J441,0)+IFERROR(K441,0)+IFERROR(L441,0),0))</f>
        <v/>
      </c>
    </row>
    <row r="442">
      <c r="A442" s="10" t="n"/>
      <c r="B442" s="10" t="n"/>
      <c r="C442" s="11" t="n"/>
      <c r="D442" s="11" t="n"/>
      <c r="E442" s="10" t="n"/>
      <c r="F442" s="10" t="n"/>
      <c r="G442" s="12" t="n"/>
      <c r="H442" s="13" t="n"/>
      <c r="I442" s="13" t="n"/>
      <c r="J442" s="13" t="n"/>
      <c r="K442" s="13" t="n"/>
      <c r="L442" s="13" t="n"/>
      <c r="M442" s="14">
        <f>IFERROR(IF(A442="","",IFERROR(VLOOKUP(A442,Raw_PriorMonth!A:E,5,FALSE),0)),0)</f>
        <v/>
      </c>
      <c r="N442" s="14">
        <f>IF(A442="","",IFERROR(E442,0)+IFERROR(M442,0))</f>
        <v/>
      </c>
      <c r="O442" s="15">
        <f>IF(A442="","",IF(N442&gt;=28,TRUE,FALSE))</f>
        <v/>
      </c>
      <c r="P442" s="15">
        <f>IF(A442="","",OR(G442=TRUE,O442=TRUE))</f>
        <v/>
      </c>
      <c r="Q442" s="16">
        <f>IF(A442="","",IFERROR(H442,0)+IFERROR(I442,0)+IFERROR(J442,0)+IFERROR(K442,0)+IFERROR(L442,0))</f>
        <v/>
      </c>
      <c r="R442" s="16">
        <f>IF(A442="","",IF(P442=TRUE,0,Q442))</f>
        <v/>
      </c>
      <c r="S442" s="16">
        <f>IF(A442="","",IF(P442=TRUE,0,IFERROR(H442,0)))</f>
        <v/>
      </c>
      <c r="T442" s="16">
        <f>IF(A442="","",IF(P442=TRUE,0,IFERROR(I442,0)))</f>
        <v/>
      </c>
      <c r="U442" s="16">
        <f>IF(A442="","",IF(P442=TRUE,0,IFERROR(J442,0)))</f>
        <v/>
      </c>
      <c r="V442" s="16">
        <f>IF(A442="","",IF(P442=TRUE,0,IFERROR(K442,0)))</f>
        <v/>
      </c>
      <c r="W442" s="16">
        <f>IF(A442="","",IF(P442=TRUE,0,IFERROR(L442,0)))</f>
        <v/>
      </c>
      <c r="X442" s="16">
        <f>IF(A442="","",IF(P442=TRUE,0,IFERROR(H442,0)+IFERROR(I442,0)+IFERROR(L442,0)))</f>
        <v/>
      </c>
      <c r="Y442" s="16">
        <f>IF(A442="",0,IF(G442=TRUE,IFERROR(H442,0)+IFERROR(I442,0)+IFERROR(J442,0)+IFERROR(K442,0)+IFERROR(L442,0),0))</f>
        <v/>
      </c>
      <c r="Z442" s="16">
        <f>IF(A442="",0,IF(AND(O442=TRUE,G442&lt;&gt;TRUE),IFERROR(H442,0)+IFERROR(I442,0)+IFERROR(J442,0)+IFERROR(K442,0)+IFERROR(L442,0),0))</f>
        <v/>
      </c>
    </row>
    <row r="443">
      <c r="A443" s="10" t="n"/>
      <c r="B443" s="10" t="n"/>
      <c r="C443" s="11" t="n"/>
      <c r="D443" s="11" t="n"/>
      <c r="E443" s="10" t="n"/>
      <c r="F443" s="10" t="n"/>
      <c r="G443" s="12" t="n"/>
      <c r="H443" s="13" t="n"/>
      <c r="I443" s="13" t="n"/>
      <c r="J443" s="13" t="n"/>
      <c r="K443" s="13" t="n"/>
      <c r="L443" s="13" t="n"/>
      <c r="M443" s="14">
        <f>IFERROR(IF(A443="","",IFERROR(VLOOKUP(A443,Raw_PriorMonth!A:E,5,FALSE),0)),0)</f>
        <v/>
      </c>
      <c r="N443" s="14">
        <f>IF(A443="","",IFERROR(E443,0)+IFERROR(M443,0))</f>
        <v/>
      </c>
      <c r="O443" s="15">
        <f>IF(A443="","",IF(N443&gt;=28,TRUE,FALSE))</f>
        <v/>
      </c>
      <c r="P443" s="15">
        <f>IF(A443="","",OR(G443=TRUE,O443=TRUE))</f>
        <v/>
      </c>
      <c r="Q443" s="16">
        <f>IF(A443="","",IFERROR(H443,0)+IFERROR(I443,0)+IFERROR(J443,0)+IFERROR(K443,0)+IFERROR(L443,0))</f>
        <v/>
      </c>
      <c r="R443" s="16">
        <f>IF(A443="","",IF(P443=TRUE,0,Q443))</f>
        <v/>
      </c>
      <c r="S443" s="16">
        <f>IF(A443="","",IF(P443=TRUE,0,IFERROR(H443,0)))</f>
        <v/>
      </c>
      <c r="T443" s="16">
        <f>IF(A443="","",IF(P443=TRUE,0,IFERROR(I443,0)))</f>
        <v/>
      </c>
      <c r="U443" s="16">
        <f>IF(A443="","",IF(P443=TRUE,0,IFERROR(J443,0)))</f>
        <v/>
      </c>
      <c r="V443" s="16">
        <f>IF(A443="","",IF(P443=TRUE,0,IFERROR(K443,0)))</f>
        <v/>
      </c>
      <c r="W443" s="16">
        <f>IF(A443="","",IF(P443=TRUE,0,IFERROR(L443,0)))</f>
        <v/>
      </c>
      <c r="X443" s="16">
        <f>IF(A443="","",IF(P443=TRUE,0,IFERROR(H443,0)+IFERROR(I443,0)+IFERROR(L443,0)))</f>
        <v/>
      </c>
      <c r="Y443" s="16">
        <f>IF(A443="",0,IF(G443=TRUE,IFERROR(H443,0)+IFERROR(I443,0)+IFERROR(J443,0)+IFERROR(K443,0)+IFERROR(L443,0),0))</f>
        <v/>
      </c>
      <c r="Z443" s="16">
        <f>IF(A443="",0,IF(AND(O443=TRUE,G443&lt;&gt;TRUE),IFERROR(H443,0)+IFERROR(I443,0)+IFERROR(J443,0)+IFERROR(K443,0)+IFERROR(L443,0),0))</f>
        <v/>
      </c>
    </row>
    <row r="444">
      <c r="A444" s="10" t="n"/>
      <c r="B444" s="10" t="n"/>
      <c r="C444" s="11" t="n"/>
      <c r="D444" s="11" t="n"/>
      <c r="E444" s="10" t="n"/>
      <c r="F444" s="10" t="n"/>
      <c r="G444" s="12" t="n"/>
      <c r="H444" s="13" t="n"/>
      <c r="I444" s="13" t="n"/>
      <c r="J444" s="13" t="n"/>
      <c r="K444" s="13" t="n"/>
      <c r="L444" s="13" t="n"/>
      <c r="M444" s="14">
        <f>IFERROR(IF(A444="","",IFERROR(VLOOKUP(A444,Raw_PriorMonth!A:E,5,FALSE),0)),0)</f>
        <v/>
      </c>
      <c r="N444" s="14">
        <f>IF(A444="","",IFERROR(E444,0)+IFERROR(M444,0))</f>
        <v/>
      </c>
      <c r="O444" s="15">
        <f>IF(A444="","",IF(N444&gt;=28,TRUE,FALSE))</f>
        <v/>
      </c>
      <c r="P444" s="15">
        <f>IF(A444="","",OR(G444=TRUE,O444=TRUE))</f>
        <v/>
      </c>
      <c r="Q444" s="16">
        <f>IF(A444="","",IFERROR(H444,0)+IFERROR(I444,0)+IFERROR(J444,0)+IFERROR(K444,0)+IFERROR(L444,0))</f>
        <v/>
      </c>
      <c r="R444" s="16">
        <f>IF(A444="","",IF(P444=TRUE,0,Q444))</f>
        <v/>
      </c>
      <c r="S444" s="16">
        <f>IF(A444="","",IF(P444=TRUE,0,IFERROR(H444,0)))</f>
        <v/>
      </c>
      <c r="T444" s="16">
        <f>IF(A444="","",IF(P444=TRUE,0,IFERROR(I444,0)))</f>
        <v/>
      </c>
      <c r="U444" s="16">
        <f>IF(A444="","",IF(P444=TRUE,0,IFERROR(J444,0)))</f>
        <v/>
      </c>
      <c r="V444" s="16">
        <f>IF(A444="","",IF(P444=TRUE,0,IFERROR(K444,0)))</f>
        <v/>
      </c>
      <c r="W444" s="16">
        <f>IF(A444="","",IF(P444=TRUE,0,IFERROR(L444,0)))</f>
        <v/>
      </c>
      <c r="X444" s="16">
        <f>IF(A444="","",IF(P444=TRUE,0,IFERROR(H444,0)+IFERROR(I444,0)+IFERROR(L444,0)))</f>
        <v/>
      </c>
      <c r="Y444" s="16">
        <f>IF(A444="",0,IF(G444=TRUE,IFERROR(H444,0)+IFERROR(I444,0)+IFERROR(J444,0)+IFERROR(K444,0)+IFERROR(L444,0),0))</f>
        <v/>
      </c>
      <c r="Z444" s="16">
        <f>IF(A444="",0,IF(AND(O444=TRUE,G444&lt;&gt;TRUE),IFERROR(H444,0)+IFERROR(I444,0)+IFERROR(J444,0)+IFERROR(K444,0)+IFERROR(L444,0),0))</f>
        <v/>
      </c>
    </row>
    <row r="445">
      <c r="A445" s="10" t="n"/>
      <c r="B445" s="10" t="n"/>
      <c r="C445" s="11" t="n"/>
      <c r="D445" s="11" t="n"/>
      <c r="E445" s="10" t="n"/>
      <c r="F445" s="10" t="n"/>
      <c r="G445" s="12" t="n"/>
      <c r="H445" s="13" t="n"/>
      <c r="I445" s="13" t="n"/>
      <c r="J445" s="13" t="n"/>
      <c r="K445" s="13" t="n"/>
      <c r="L445" s="13" t="n"/>
      <c r="M445" s="14">
        <f>IFERROR(IF(A445="","",IFERROR(VLOOKUP(A445,Raw_PriorMonth!A:E,5,FALSE),0)),0)</f>
        <v/>
      </c>
      <c r="N445" s="14">
        <f>IF(A445="","",IFERROR(E445,0)+IFERROR(M445,0))</f>
        <v/>
      </c>
      <c r="O445" s="15">
        <f>IF(A445="","",IF(N445&gt;=28,TRUE,FALSE))</f>
        <v/>
      </c>
      <c r="P445" s="15">
        <f>IF(A445="","",OR(G445=TRUE,O445=TRUE))</f>
        <v/>
      </c>
      <c r="Q445" s="16">
        <f>IF(A445="","",IFERROR(H445,0)+IFERROR(I445,0)+IFERROR(J445,0)+IFERROR(K445,0)+IFERROR(L445,0))</f>
        <v/>
      </c>
      <c r="R445" s="16">
        <f>IF(A445="","",IF(P445=TRUE,0,Q445))</f>
        <v/>
      </c>
      <c r="S445" s="16">
        <f>IF(A445="","",IF(P445=TRUE,0,IFERROR(H445,0)))</f>
        <v/>
      </c>
      <c r="T445" s="16">
        <f>IF(A445="","",IF(P445=TRUE,0,IFERROR(I445,0)))</f>
        <v/>
      </c>
      <c r="U445" s="16">
        <f>IF(A445="","",IF(P445=TRUE,0,IFERROR(J445,0)))</f>
        <v/>
      </c>
      <c r="V445" s="16">
        <f>IF(A445="","",IF(P445=TRUE,0,IFERROR(K445,0)))</f>
        <v/>
      </c>
      <c r="W445" s="16">
        <f>IF(A445="","",IF(P445=TRUE,0,IFERROR(L445,0)))</f>
        <v/>
      </c>
      <c r="X445" s="16">
        <f>IF(A445="","",IF(P445=TRUE,0,IFERROR(H445,0)+IFERROR(I445,0)+IFERROR(L445,0)))</f>
        <v/>
      </c>
      <c r="Y445" s="16">
        <f>IF(A445="",0,IF(G445=TRUE,IFERROR(H445,0)+IFERROR(I445,0)+IFERROR(J445,0)+IFERROR(K445,0)+IFERROR(L445,0),0))</f>
        <v/>
      </c>
      <c r="Z445" s="16">
        <f>IF(A445="",0,IF(AND(O445=TRUE,G445&lt;&gt;TRUE),IFERROR(H445,0)+IFERROR(I445,0)+IFERROR(J445,0)+IFERROR(K445,0)+IFERROR(L445,0),0))</f>
        <v/>
      </c>
    </row>
    <row r="446">
      <c r="A446" s="10" t="n"/>
      <c r="B446" s="10" t="n"/>
      <c r="C446" s="11" t="n"/>
      <c r="D446" s="11" t="n"/>
      <c r="E446" s="10" t="n"/>
      <c r="F446" s="10" t="n"/>
      <c r="G446" s="12" t="n"/>
      <c r="H446" s="13" t="n"/>
      <c r="I446" s="13" t="n"/>
      <c r="J446" s="13" t="n"/>
      <c r="K446" s="13" t="n"/>
      <c r="L446" s="13" t="n"/>
      <c r="M446" s="14">
        <f>IFERROR(IF(A446="","",IFERROR(VLOOKUP(A446,Raw_PriorMonth!A:E,5,FALSE),0)),0)</f>
        <v/>
      </c>
      <c r="N446" s="14">
        <f>IF(A446="","",IFERROR(E446,0)+IFERROR(M446,0))</f>
        <v/>
      </c>
      <c r="O446" s="15">
        <f>IF(A446="","",IF(N446&gt;=28,TRUE,FALSE))</f>
        <v/>
      </c>
      <c r="P446" s="15">
        <f>IF(A446="","",OR(G446=TRUE,O446=TRUE))</f>
        <v/>
      </c>
      <c r="Q446" s="16">
        <f>IF(A446="","",IFERROR(H446,0)+IFERROR(I446,0)+IFERROR(J446,0)+IFERROR(K446,0)+IFERROR(L446,0))</f>
        <v/>
      </c>
      <c r="R446" s="16">
        <f>IF(A446="","",IF(P446=TRUE,0,Q446))</f>
        <v/>
      </c>
      <c r="S446" s="16">
        <f>IF(A446="","",IF(P446=TRUE,0,IFERROR(H446,0)))</f>
        <v/>
      </c>
      <c r="T446" s="16">
        <f>IF(A446="","",IF(P446=TRUE,0,IFERROR(I446,0)))</f>
        <v/>
      </c>
      <c r="U446" s="16">
        <f>IF(A446="","",IF(P446=TRUE,0,IFERROR(J446,0)))</f>
        <v/>
      </c>
      <c r="V446" s="16">
        <f>IF(A446="","",IF(P446=TRUE,0,IFERROR(K446,0)))</f>
        <v/>
      </c>
      <c r="W446" s="16">
        <f>IF(A446="","",IF(P446=TRUE,0,IFERROR(L446,0)))</f>
        <v/>
      </c>
      <c r="X446" s="16">
        <f>IF(A446="","",IF(P446=TRUE,0,IFERROR(H446,0)+IFERROR(I446,0)+IFERROR(L446,0)))</f>
        <v/>
      </c>
      <c r="Y446" s="16">
        <f>IF(A446="",0,IF(G446=TRUE,IFERROR(H446,0)+IFERROR(I446,0)+IFERROR(J446,0)+IFERROR(K446,0)+IFERROR(L446,0),0))</f>
        <v/>
      </c>
      <c r="Z446" s="16">
        <f>IF(A446="",0,IF(AND(O446=TRUE,G446&lt;&gt;TRUE),IFERROR(H446,0)+IFERROR(I446,0)+IFERROR(J446,0)+IFERROR(K446,0)+IFERROR(L446,0),0))</f>
        <v/>
      </c>
    </row>
    <row r="447">
      <c r="A447" s="10" t="n"/>
      <c r="B447" s="10" t="n"/>
      <c r="C447" s="11" t="n"/>
      <c r="D447" s="11" t="n"/>
      <c r="E447" s="10" t="n"/>
      <c r="F447" s="10" t="n"/>
      <c r="G447" s="12" t="n"/>
      <c r="H447" s="13" t="n"/>
      <c r="I447" s="13" t="n"/>
      <c r="J447" s="13" t="n"/>
      <c r="K447" s="13" t="n"/>
      <c r="L447" s="13" t="n"/>
      <c r="M447" s="14">
        <f>IFERROR(IF(A447="","",IFERROR(VLOOKUP(A447,Raw_PriorMonth!A:E,5,FALSE),0)),0)</f>
        <v/>
      </c>
      <c r="N447" s="14">
        <f>IF(A447="","",IFERROR(E447,0)+IFERROR(M447,0))</f>
        <v/>
      </c>
      <c r="O447" s="15">
        <f>IF(A447="","",IF(N447&gt;=28,TRUE,FALSE))</f>
        <v/>
      </c>
      <c r="P447" s="15">
        <f>IF(A447="","",OR(G447=TRUE,O447=TRUE))</f>
        <v/>
      </c>
      <c r="Q447" s="16">
        <f>IF(A447="","",IFERROR(H447,0)+IFERROR(I447,0)+IFERROR(J447,0)+IFERROR(K447,0)+IFERROR(L447,0))</f>
        <v/>
      </c>
      <c r="R447" s="16">
        <f>IF(A447="","",IF(P447=TRUE,0,Q447))</f>
        <v/>
      </c>
      <c r="S447" s="16">
        <f>IF(A447="","",IF(P447=TRUE,0,IFERROR(H447,0)))</f>
        <v/>
      </c>
      <c r="T447" s="16">
        <f>IF(A447="","",IF(P447=TRUE,0,IFERROR(I447,0)))</f>
        <v/>
      </c>
      <c r="U447" s="16">
        <f>IF(A447="","",IF(P447=TRUE,0,IFERROR(J447,0)))</f>
        <v/>
      </c>
      <c r="V447" s="16">
        <f>IF(A447="","",IF(P447=TRUE,0,IFERROR(K447,0)))</f>
        <v/>
      </c>
      <c r="W447" s="16">
        <f>IF(A447="","",IF(P447=TRUE,0,IFERROR(L447,0)))</f>
        <v/>
      </c>
      <c r="X447" s="16">
        <f>IF(A447="","",IF(P447=TRUE,0,IFERROR(H447,0)+IFERROR(I447,0)+IFERROR(L447,0)))</f>
        <v/>
      </c>
      <c r="Y447" s="16">
        <f>IF(A447="",0,IF(G447=TRUE,IFERROR(H447,0)+IFERROR(I447,0)+IFERROR(J447,0)+IFERROR(K447,0)+IFERROR(L447,0),0))</f>
        <v/>
      </c>
      <c r="Z447" s="16">
        <f>IF(A447="",0,IF(AND(O447=TRUE,G447&lt;&gt;TRUE),IFERROR(H447,0)+IFERROR(I447,0)+IFERROR(J447,0)+IFERROR(K447,0)+IFERROR(L447,0),0))</f>
        <v/>
      </c>
    </row>
    <row r="448">
      <c r="A448" s="10" t="n"/>
      <c r="B448" s="10" t="n"/>
      <c r="C448" s="11" t="n"/>
      <c r="D448" s="11" t="n"/>
      <c r="E448" s="10" t="n"/>
      <c r="F448" s="10" t="n"/>
      <c r="G448" s="12" t="n"/>
      <c r="H448" s="13" t="n"/>
      <c r="I448" s="13" t="n"/>
      <c r="J448" s="13" t="n"/>
      <c r="K448" s="13" t="n"/>
      <c r="L448" s="13" t="n"/>
      <c r="M448" s="14">
        <f>IFERROR(IF(A448="","",IFERROR(VLOOKUP(A448,Raw_PriorMonth!A:E,5,FALSE),0)),0)</f>
        <v/>
      </c>
      <c r="N448" s="14">
        <f>IF(A448="","",IFERROR(E448,0)+IFERROR(M448,0))</f>
        <v/>
      </c>
      <c r="O448" s="15">
        <f>IF(A448="","",IF(N448&gt;=28,TRUE,FALSE))</f>
        <v/>
      </c>
      <c r="P448" s="15">
        <f>IF(A448="","",OR(G448=TRUE,O448=TRUE))</f>
        <v/>
      </c>
      <c r="Q448" s="16">
        <f>IF(A448="","",IFERROR(H448,0)+IFERROR(I448,0)+IFERROR(J448,0)+IFERROR(K448,0)+IFERROR(L448,0))</f>
        <v/>
      </c>
      <c r="R448" s="16">
        <f>IF(A448="","",IF(P448=TRUE,0,Q448))</f>
        <v/>
      </c>
      <c r="S448" s="16">
        <f>IF(A448="","",IF(P448=TRUE,0,IFERROR(H448,0)))</f>
        <v/>
      </c>
      <c r="T448" s="16">
        <f>IF(A448="","",IF(P448=TRUE,0,IFERROR(I448,0)))</f>
        <v/>
      </c>
      <c r="U448" s="16">
        <f>IF(A448="","",IF(P448=TRUE,0,IFERROR(J448,0)))</f>
        <v/>
      </c>
      <c r="V448" s="16">
        <f>IF(A448="","",IF(P448=TRUE,0,IFERROR(K448,0)))</f>
        <v/>
      </c>
      <c r="W448" s="16">
        <f>IF(A448="","",IF(P448=TRUE,0,IFERROR(L448,0)))</f>
        <v/>
      </c>
      <c r="X448" s="16">
        <f>IF(A448="","",IF(P448=TRUE,0,IFERROR(H448,0)+IFERROR(I448,0)+IFERROR(L448,0)))</f>
        <v/>
      </c>
      <c r="Y448" s="16">
        <f>IF(A448="",0,IF(G448=TRUE,IFERROR(H448,0)+IFERROR(I448,0)+IFERROR(J448,0)+IFERROR(K448,0)+IFERROR(L448,0),0))</f>
        <v/>
      </c>
      <c r="Z448" s="16">
        <f>IF(A448="",0,IF(AND(O448=TRUE,G448&lt;&gt;TRUE),IFERROR(H448,0)+IFERROR(I448,0)+IFERROR(J448,0)+IFERROR(K448,0)+IFERROR(L448,0),0))</f>
        <v/>
      </c>
    </row>
    <row r="449">
      <c r="A449" s="10" t="n"/>
      <c r="B449" s="10" t="n"/>
      <c r="C449" s="11" t="n"/>
      <c r="D449" s="11" t="n"/>
      <c r="E449" s="10" t="n"/>
      <c r="F449" s="10" t="n"/>
      <c r="G449" s="12" t="n"/>
      <c r="H449" s="13" t="n"/>
      <c r="I449" s="13" t="n"/>
      <c r="J449" s="13" t="n"/>
      <c r="K449" s="13" t="n"/>
      <c r="L449" s="13" t="n"/>
      <c r="M449" s="14">
        <f>IFERROR(IF(A449="","",IFERROR(VLOOKUP(A449,Raw_PriorMonth!A:E,5,FALSE),0)),0)</f>
        <v/>
      </c>
      <c r="N449" s="14">
        <f>IF(A449="","",IFERROR(E449,0)+IFERROR(M449,0))</f>
        <v/>
      </c>
      <c r="O449" s="15">
        <f>IF(A449="","",IF(N449&gt;=28,TRUE,FALSE))</f>
        <v/>
      </c>
      <c r="P449" s="15">
        <f>IF(A449="","",OR(G449=TRUE,O449=TRUE))</f>
        <v/>
      </c>
      <c r="Q449" s="16">
        <f>IF(A449="","",IFERROR(H449,0)+IFERROR(I449,0)+IFERROR(J449,0)+IFERROR(K449,0)+IFERROR(L449,0))</f>
        <v/>
      </c>
      <c r="R449" s="16">
        <f>IF(A449="","",IF(P449=TRUE,0,Q449))</f>
        <v/>
      </c>
      <c r="S449" s="16">
        <f>IF(A449="","",IF(P449=TRUE,0,IFERROR(H449,0)))</f>
        <v/>
      </c>
      <c r="T449" s="16">
        <f>IF(A449="","",IF(P449=TRUE,0,IFERROR(I449,0)))</f>
        <v/>
      </c>
      <c r="U449" s="16">
        <f>IF(A449="","",IF(P449=TRUE,0,IFERROR(J449,0)))</f>
        <v/>
      </c>
      <c r="V449" s="16">
        <f>IF(A449="","",IF(P449=TRUE,0,IFERROR(K449,0)))</f>
        <v/>
      </c>
      <c r="W449" s="16">
        <f>IF(A449="","",IF(P449=TRUE,0,IFERROR(L449,0)))</f>
        <v/>
      </c>
      <c r="X449" s="16">
        <f>IF(A449="","",IF(P449=TRUE,0,IFERROR(H449,0)+IFERROR(I449,0)+IFERROR(L449,0)))</f>
        <v/>
      </c>
      <c r="Y449" s="16">
        <f>IF(A449="",0,IF(G449=TRUE,IFERROR(H449,0)+IFERROR(I449,0)+IFERROR(J449,0)+IFERROR(K449,0)+IFERROR(L449,0),0))</f>
        <v/>
      </c>
      <c r="Z449" s="16">
        <f>IF(A449="",0,IF(AND(O449=TRUE,G449&lt;&gt;TRUE),IFERROR(H449,0)+IFERROR(I449,0)+IFERROR(J449,0)+IFERROR(K449,0)+IFERROR(L449,0),0))</f>
        <v/>
      </c>
    </row>
    <row r="450">
      <c r="A450" s="10" t="n"/>
      <c r="B450" s="10" t="n"/>
      <c r="C450" s="11" t="n"/>
      <c r="D450" s="11" t="n"/>
      <c r="E450" s="10" t="n"/>
      <c r="F450" s="10" t="n"/>
      <c r="G450" s="12" t="n"/>
      <c r="H450" s="13" t="n"/>
      <c r="I450" s="13" t="n"/>
      <c r="J450" s="13" t="n"/>
      <c r="K450" s="13" t="n"/>
      <c r="L450" s="13" t="n"/>
      <c r="M450" s="14">
        <f>IFERROR(IF(A450="","",IFERROR(VLOOKUP(A450,Raw_PriorMonth!A:E,5,FALSE),0)),0)</f>
        <v/>
      </c>
      <c r="N450" s="14">
        <f>IF(A450="","",IFERROR(E450,0)+IFERROR(M450,0))</f>
        <v/>
      </c>
      <c r="O450" s="15">
        <f>IF(A450="","",IF(N450&gt;=28,TRUE,FALSE))</f>
        <v/>
      </c>
      <c r="P450" s="15">
        <f>IF(A450="","",OR(G450=TRUE,O450=TRUE))</f>
        <v/>
      </c>
      <c r="Q450" s="16">
        <f>IF(A450="","",IFERROR(H450,0)+IFERROR(I450,0)+IFERROR(J450,0)+IFERROR(K450,0)+IFERROR(L450,0))</f>
        <v/>
      </c>
      <c r="R450" s="16">
        <f>IF(A450="","",IF(P450=TRUE,0,Q450))</f>
        <v/>
      </c>
      <c r="S450" s="16">
        <f>IF(A450="","",IF(P450=TRUE,0,IFERROR(H450,0)))</f>
        <v/>
      </c>
      <c r="T450" s="16">
        <f>IF(A450="","",IF(P450=TRUE,0,IFERROR(I450,0)))</f>
        <v/>
      </c>
      <c r="U450" s="16">
        <f>IF(A450="","",IF(P450=TRUE,0,IFERROR(J450,0)))</f>
        <v/>
      </c>
      <c r="V450" s="16">
        <f>IF(A450="","",IF(P450=TRUE,0,IFERROR(K450,0)))</f>
        <v/>
      </c>
      <c r="W450" s="16">
        <f>IF(A450="","",IF(P450=TRUE,0,IFERROR(L450,0)))</f>
        <v/>
      </c>
      <c r="X450" s="16">
        <f>IF(A450="","",IF(P450=TRUE,0,IFERROR(H450,0)+IFERROR(I450,0)+IFERROR(L450,0)))</f>
        <v/>
      </c>
      <c r="Y450" s="16">
        <f>IF(A450="",0,IF(G450=TRUE,IFERROR(H450,0)+IFERROR(I450,0)+IFERROR(J450,0)+IFERROR(K450,0)+IFERROR(L450,0),0))</f>
        <v/>
      </c>
      <c r="Z450" s="16">
        <f>IF(A450="",0,IF(AND(O450=TRUE,G450&lt;&gt;TRUE),IFERROR(H450,0)+IFERROR(I450,0)+IFERROR(J450,0)+IFERROR(K450,0)+IFERROR(L450,0),0))</f>
        <v/>
      </c>
    </row>
    <row r="451">
      <c r="A451" s="10" t="n"/>
      <c r="B451" s="10" t="n"/>
      <c r="C451" s="11" t="n"/>
      <c r="D451" s="11" t="n"/>
      <c r="E451" s="10" t="n"/>
      <c r="F451" s="10" t="n"/>
      <c r="G451" s="12" t="n"/>
      <c r="H451" s="13" t="n"/>
      <c r="I451" s="13" t="n"/>
      <c r="J451" s="13" t="n"/>
      <c r="K451" s="13" t="n"/>
      <c r="L451" s="13" t="n"/>
      <c r="M451" s="14">
        <f>IFERROR(IF(A451="","",IFERROR(VLOOKUP(A451,Raw_PriorMonth!A:E,5,FALSE),0)),0)</f>
        <v/>
      </c>
      <c r="N451" s="14">
        <f>IF(A451="","",IFERROR(E451,0)+IFERROR(M451,0))</f>
        <v/>
      </c>
      <c r="O451" s="15">
        <f>IF(A451="","",IF(N451&gt;=28,TRUE,FALSE))</f>
        <v/>
      </c>
      <c r="P451" s="15">
        <f>IF(A451="","",OR(G451=TRUE,O451=TRUE))</f>
        <v/>
      </c>
      <c r="Q451" s="16">
        <f>IF(A451="","",IFERROR(H451,0)+IFERROR(I451,0)+IFERROR(J451,0)+IFERROR(K451,0)+IFERROR(L451,0))</f>
        <v/>
      </c>
      <c r="R451" s="16">
        <f>IF(A451="","",IF(P451=TRUE,0,Q451))</f>
        <v/>
      </c>
      <c r="S451" s="16">
        <f>IF(A451="","",IF(P451=TRUE,0,IFERROR(H451,0)))</f>
        <v/>
      </c>
      <c r="T451" s="16">
        <f>IF(A451="","",IF(P451=TRUE,0,IFERROR(I451,0)))</f>
        <v/>
      </c>
      <c r="U451" s="16">
        <f>IF(A451="","",IF(P451=TRUE,0,IFERROR(J451,0)))</f>
        <v/>
      </c>
      <c r="V451" s="16">
        <f>IF(A451="","",IF(P451=TRUE,0,IFERROR(K451,0)))</f>
        <v/>
      </c>
      <c r="W451" s="16">
        <f>IF(A451="","",IF(P451=TRUE,0,IFERROR(L451,0)))</f>
        <v/>
      </c>
      <c r="X451" s="16">
        <f>IF(A451="","",IF(P451=TRUE,0,IFERROR(H451,0)+IFERROR(I451,0)+IFERROR(L451,0)))</f>
        <v/>
      </c>
      <c r="Y451" s="16">
        <f>IF(A451="",0,IF(G451=TRUE,IFERROR(H451,0)+IFERROR(I451,0)+IFERROR(J451,0)+IFERROR(K451,0)+IFERROR(L451,0),0))</f>
        <v/>
      </c>
      <c r="Z451" s="16">
        <f>IF(A451="",0,IF(AND(O451=TRUE,G451&lt;&gt;TRUE),IFERROR(H451,0)+IFERROR(I451,0)+IFERROR(J451,0)+IFERROR(K451,0)+IFERROR(L451,0),0))</f>
        <v/>
      </c>
    </row>
    <row r="452">
      <c r="A452" s="10" t="n"/>
      <c r="B452" s="10" t="n"/>
      <c r="C452" s="11" t="n"/>
      <c r="D452" s="11" t="n"/>
      <c r="E452" s="10" t="n"/>
      <c r="F452" s="10" t="n"/>
      <c r="G452" s="12" t="n"/>
      <c r="H452" s="13" t="n"/>
      <c r="I452" s="13" t="n"/>
      <c r="J452" s="13" t="n"/>
      <c r="K452" s="13" t="n"/>
      <c r="L452" s="13" t="n"/>
      <c r="M452" s="14">
        <f>IFERROR(IF(A452="","",IFERROR(VLOOKUP(A452,Raw_PriorMonth!A:E,5,FALSE),0)),0)</f>
        <v/>
      </c>
      <c r="N452" s="14">
        <f>IF(A452="","",IFERROR(E452,0)+IFERROR(M452,0))</f>
        <v/>
      </c>
      <c r="O452" s="15">
        <f>IF(A452="","",IF(N452&gt;=28,TRUE,FALSE))</f>
        <v/>
      </c>
      <c r="P452" s="15">
        <f>IF(A452="","",OR(G452=TRUE,O452=TRUE))</f>
        <v/>
      </c>
      <c r="Q452" s="16">
        <f>IF(A452="","",IFERROR(H452,0)+IFERROR(I452,0)+IFERROR(J452,0)+IFERROR(K452,0)+IFERROR(L452,0))</f>
        <v/>
      </c>
      <c r="R452" s="16">
        <f>IF(A452="","",IF(P452=TRUE,0,Q452))</f>
        <v/>
      </c>
      <c r="S452" s="16">
        <f>IF(A452="","",IF(P452=TRUE,0,IFERROR(H452,0)))</f>
        <v/>
      </c>
      <c r="T452" s="16">
        <f>IF(A452="","",IF(P452=TRUE,0,IFERROR(I452,0)))</f>
        <v/>
      </c>
      <c r="U452" s="16">
        <f>IF(A452="","",IF(P452=TRUE,0,IFERROR(J452,0)))</f>
        <v/>
      </c>
      <c r="V452" s="16">
        <f>IF(A452="","",IF(P452=TRUE,0,IFERROR(K452,0)))</f>
        <v/>
      </c>
      <c r="W452" s="16">
        <f>IF(A452="","",IF(P452=TRUE,0,IFERROR(L452,0)))</f>
        <v/>
      </c>
      <c r="X452" s="16">
        <f>IF(A452="","",IF(P452=TRUE,0,IFERROR(H452,0)+IFERROR(I452,0)+IFERROR(L452,0)))</f>
        <v/>
      </c>
      <c r="Y452" s="16">
        <f>IF(A452="",0,IF(G452=TRUE,IFERROR(H452,0)+IFERROR(I452,0)+IFERROR(J452,0)+IFERROR(K452,0)+IFERROR(L452,0),0))</f>
        <v/>
      </c>
      <c r="Z452" s="16">
        <f>IF(A452="",0,IF(AND(O452=TRUE,G452&lt;&gt;TRUE),IFERROR(H452,0)+IFERROR(I452,0)+IFERROR(J452,0)+IFERROR(K452,0)+IFERROR(L452,0),0))</f>
        <v/>
      </c>
    </row>
    <row r="453">
      <c r="A453" s="10" t="n"/>
      <c r="B453" s="10" t="n"/>
      <c r="C453" s="11" t="n"/>
      <c r="D453" s="11" t="n"/>
      <c r="E453" s="10" t="n"/>
      <c r="F453" s="10" t="n"/>
      <c r="G453" s="12" t="n"/>
      <c r="H453" s="13" t="n"/>
      <c r="I453" s="13" t="n"/>
      <c r="J453" s="13" t="n"/>
      <c r="K453" s="13" t="n"/>
      <c r="L453" s="13" t="n"/>
      <c r="M453" s="14">
        <f>IFERROR(IF(A453="","",IFERROR(VLOOKUP(A453,Raw_PriorMonth!A:E,5,FALSE),0)),0)</f>
        <v/>
      </c>
      <c r="N453" s="14">
        <f>IF(A453="","",IFERROR(E453,0)+IFERROR(M453,0))</f>
        <v/>
      </c>
      <c r="O453" s="15">
        <f>IF(A453="","",IF(N453&gt;=28,TRUE,FALSE))</f>
        <v/>
      </c>
      <c r="P453" s="15">
        <f>IF(A453="","",OR(G453=TRUE,O453=TRUE))</f>
        <v/>
      </c>
      <c r="Q453" s="16">
        <f>IF(A453="","",IFERROR(H453,0)+IFERROR(I453,0)+IFERROR(J453,0)+IFERROR(K453,0)+IFERROR(L453,0))</f>
        <v/>
      </c>
      <c r="R453" s="16">
        <f>IF(A453="","",IF(P453=TRUE,0,Q453))</f>
        <v/>
      </c>
      <c r="S453" s="16">
        <f>IF(A453="","",IF(P453=TRUE,0,IFERROR(H453,0)))</f>
        <v/>
      </c>
      <c r="T453" s="16">
        <f>IF(A453="","",IF(P453=TRUE,0,IFERROR(I453,0)))</f>
        <v/>
      </c>
      <c r="U453" s="16">
        <f>IF(A453="","",IF(P453=TRUE,0,IFERROR(J453,0)))</f>
        <v/>
      </c>
      <c r="V453" s="16">
        <f>IF(A453="","",IF(P453=TRUE,0,IFERROR(K453,0)))</f>
        <v/>
      </c>
      <c r="W453" s="16">
        <f>IF(A453="","",IF(P453=TRUE,0,IFERROR(L453,0)))</f>
        <v/>
      </c>
      <c r="X453" s="16">
        <f>IF(A453="","",IF(P453=TRUE,0,IFERROR(H453,0)+IFERROR(I453,0)+IFERROR(L453,0)))</f>
        <v/>
      </c>
      <c r="Y453" s="16">
        <f>IF(A453="",0,IF(G453=TRUE,IFERROR(H453,0)+IFERROR(I453,0)+IFERROR(J453,0)+IFERROR(K453,0)+IFERROR(L453,0),0))</f>
        <v/>
      </c>
      <c r="Z453" s="16">
        <f>IF(A453="",0,IF(AND(O453=TRUE,G453&lt;&gt;TRUE),IFERROR(H453,0)+IFERROR(I453,0)+IFERROR(J453,0)+IFERROR(K453,0)+IFERROR(L453,0),0))</f>
        <v/>
      </c>
    </row>
    <row r="454">
      <c r="A454" s="10" t="n"/>
      <c r="B454" s="10" t="n"/>
      <c r="C454" s="11" t="n"/>
      <c r="D454" s="11" t="n"/>
      <c r="E454" s="10" t="n"/>
      <c r="F454" s="10" t="n"/>
      <c r="G454" s="12" t="n"/>
      <c r="H454" s="13" t="n"/>
      <c r="I454" s="13" t="n"/>
      <c r="J454" s="13" t="n"/>
      <c r="K454" s="13" t="n"/>
      <c r="L454" s="13" t="n"/>
      <c r="M454" s="14">
        <f>IFERROR(IF(A454="","",IFERROR(VLOOKUP(A454,Raw_PriorMonth!A:E,5,FALSE),0)),0)</f>
        <v/>
      </c>
      <c r="N454" s="14">
        <f>IF(A454="","",IFERROR(E454,0)+IFERROR(M454,0))</f>
        <v/>
      </c>
      <c r="O454" s="15">
        <f>IF(A454="","",IF(N454&gt;=28,TRUE,FALSE))</f>
        <v/>
      </c>
      <c r="P454" s="15">
        <f>IF(A454="","",OR(G454=TRUE,O454=TRUE))</f>
        <v/>
      </c>
      <c r="Q454" s="16">
        <f>IF(A454="","",IFERROR(H454,0)+IFERROR(I454,0)+IFERROR(J454,0)+IFERROR(K454,0)+IFERROR(L454,0))</f>
        <v/>
      </c>
      <c r="R454" s="16">
        <f>IF(A454="","",IF(P454=TRUE,0,Q454))</f>
        <v/>
      </c>
      <c r="S454" s="16">
        <f>IF(A454="","",IF(P454=TRUE,0,IFERROR(H454,0)))</f>
        <v/>
      </c>
      <c r="T454" s="16">
        <f>IF(A454="","",IF(P454=TRUE,0,IFERROR(I454,0)))</f>
        <v/>
      </c>
      <c r="U454" s="16">
        <f>IF(A454="","",IF(P454=TRUE,0,IFERROR(J454,0)))</f>
        <v/>
      </c>
      <c r="V454" s="16">
        <f>IF(A454="","",IF(P454=TRUE,0,IFERROR(K454,0)))</f>
        <v/>
      </c>
      <c r="W454" s="16">
        <f>IF(A454="","",IF(P454=TRUE,0,IFERROR(L454,0)))</f>
        <v/>
      </c>
      <c r="X454" s="16">
        <f>IF(A454="","",IF(P454=TRUE,0,IFERROR(H454,0)+IFERROR(I454,0)+IFERROR(L454,0)))</f>
        <v/>
      </c>
      <c r="Y454" s="16">
        <f>IF(A454="",0,IF(G454=TRUE,IFERROR(H454,0)+IFERROR(I454,0)+IFERROR(J454,0)+IFERROR(K454,0)+IFERROR(L454,0),0))</f>
        <v/>
      </c>
      <c r="Z454" s="16">
        <f>IF(A454="",0,IF(AND(O454=TRUE,G454&lt;&gt;TRUE),IFERROR(H454,0)+IFERROR(I454,0)+IFERROR(J454,0)+IFERROR(K454,0)+IFERROR(L454,0),0))</f>
        <v/>
      </c>
    </row>
    <row r="455">
      <c r="A455" s="10" t="n"/>
      <c r="B455" s="10" t="n"/>
      <c r="C455" s="11" t="n"/>
      <c r="D455" s="11" t="n"/>
      <c r="E455" s="10" t="n"/>
      <c r="F455" s="10" t="n"/>
      <c r="G455" s="12" t="n"/>
      <c r="H455" s="13" t="n"/>
      <c r="I455" s="13" t="n"/>
      <c r="J455" s="13" t="n"/>
      <c r="K455" s="13" t="n"/>
      <c r="L455" s="13" t="n"/>
      <c r="M455" s="14">
        <f>IFERROR(IF(A455="","",IFERROR(VLOOKUP(A455,Raw_PriorMonth!A:E,5,FALSE),0)),0)</f>
        <v/>
      </c>
      <c r="N455" s="14">
        <f>IF(A455="","",IFERROR(E455,0)+IFERROR(M455,0))</f>
        <v/>
      </c>
      <c r="O455" s="15">
        <f>IF(A455="","",IF(N455&gt;=28,TRUE,FALSE))</f>
        <v/>
      </c>
      <c r="P455" s="15">
        <f>IF(A455="","",OR(G455=TRUE,O455=TRUE))</f>
        <v/>
      </c>
      <c r="Q455" s="16">
        <f>IF(A455="","",IFERROR(H455,0)+IFERROR(I455,0)+IFERROR(J455,0)+IFERROR(K455,0)+IFERROR(L455,0))</f>
        <v/>
      </c>
      <c r="R455" s="16">
        <f>IF(A455="","",IF(P455=TRUE,0,Q455))</f>
        <v/>
      </c>
      <c r="S455" s="16">
        <f>IF(A455="","",IF(P455=TRUE,0,IFERROR(H455,0)))</f>
        <v/>
      </c>
      <c r="T455" s="16">
        <f>IF(A455="","",IF(P455=TRUE,0,IFERROR(I455,0)))</f>
        <v/>
      </c>
      <c r="U455" s="16">
        <f>IF(A455="","",IF(P455=TRUE,0,IFERROR(J455,0)))</f>
        <v/>
      </c>
      <c r="V455" s="16">
        <f>IF(A455="","",IF(P455=TRUE,0,IFERROR(K455,0)))</f>
        <v/>
      </c>
      <c r="W455" s="16">
        <f>IF(A455="","",IF(P455=TRUE,0,IFERROR(L455,0)))</f>
        <v/>
      </c>
      <c r="X455" s="16">
        <f>IF(A455="","",IF(P455=TRUE,0,IFERROR(H455,0)+IFERROR(I455,0)+IFERROR(L455,0)))</f>
        <v/>
      </c>
      <c r="Y455" s="16">
        <f>IF(A455="",0,IF(G455=TRUE,IFERROR(H455,0)+IFERROR(I455,0)+IFERROR(J455,0)+IFERROR(K455,0)+IFERROR(L455,0),0))</f>
        <v/>
      </c>
      <c r="Z455" s="16">
        <f>IF(A455="",0,IF(AND(O455=TRUE,G455&lt;&gt;TRUE),IFERROR(H455,0)+IFERROR(I455,0)+IFERROR(J455,0)+IFERROR(K455,0)+IFERROR(L455,0),0))</f>
        <v/>
      </c>
    </row>
    <row r="456">
      <c r="A456" s="10" t="n"/>
      <c r="B456" s="10" t="n"/>
      <c r="C456" s="11" t="n"/>
      <c r="D456" s="11" t="n"/>
      <c r="E456" s="10" t="n"/>
      <c r="F456" s="10" t="n"/>
      <c r="G456" s="12" t="n"/>
      <c r="H456" s="13" t="n"/>
      <c r="I456" s="13" t="n"/>
      <c r="J456" s="13" t="n"/>
      <c r="K456" s="13" t="n"/>
      <c r="L456" s="13" t="n"/>
      <c r="M456" s="14">
        <f>IFERROR(IF(A456="","",IFERROR(VLOOKUP(A456,Raw_PriorMonth!A:E,5,FALSE),0)),0)</f>
        <v/>
      </c>
      <c r="N456" s="14">
        <f>IF(A456="","",IFERROR(E456,0)+IFERROR(M456,0))</f>
        <v/>
      </c>
      <c r="O456" s="15">
        <f>IF(A456="","",IF(N456&gt;=28,TRUE,FALSE))</f>
        <v/>
      </c>
      <c r="P456" s="15">
        <f>IF(A456="","",OR(G456=TRUE,O456=TRUE))</f>
        <v/>
      </c>
      <c r="Q456" s="16">
        <f>IF(A456="","",IFERROR(H456,0)+IFERROR(I456,0)+IFERROR(J456,0)+IFERROR(K456,0)+IFERROR(L456,0))</f>
        <v/>
      </c>
      <c r="R456" s="16">
        <f>IF(A456="","",IF(P456=TRUE,0,Q456))</f>
        <v/>
      </c>
      <c r="S456" s="16">
        <f>IF(A456="","",IF(P456=TRUE,0,IFERROR(H456,0)))</f>
        <v/>
      </c>
      <c r="T456" s="16">
        <f>IF(A456="","",IF(P456=TRUE,0,IFERROR(I456,0)))</f>
        <v/>
      </c>
      <c r="U456" s="16">
        <f>IF(A456="","",IF(P456=TRUE,0,IFERROR(J456,0)))</f>
        <v/>
      </c>
      <c r="V456" s="16">
        <f>IF(A456="","",IF(P456=TRUE,0,IFERROR(K456,0)))</f>
        <v/>
      </c>
      <c r="W456" s="16">
        <f>IF(A456="","",IF(P456=TRUE,0,IFERROR(L456,0)))</f>
        <v/>
      </c>
      <c r="X456" s="16">
        <f>IF(A456="","",IF(P456=TRUE,0,IFERROR(H456,0)+IFERROR(I456,0)+IFERROR(L456,0)))</f>
        <v/>
      </c>
      <c r="Y456" s="16">
        <f>IF(A456="",0,IF(G456=TRUE,IFERROR(H456,0)+IFERROR(I456,0)+IFERROR(J456,0)+IFERROR(K456,0)+IFERROR(L456,0),0))</f>
        <v/>
      </c>
      <c r="Z456" s="16">
        <f>IF(A456="",0,IF(AND(O456=TRUE,G456&lt;&gt;TRUE),IFERROR(H456,0)+IFERROR(I456,0)+IFERROR(J456,0)+IFERROR(K456,0)+IFERROR(L456,0),0))</f>
        <v/>
      </c>
    </row>
    <row r="457">
      <c r="A457" s="10" t="n"/>
      <c r="B457" s="10" t="n"/>
      <c r="C457" s="11" t="n"/>
      <c r="D457" s="11" t="n"/>
      <c r="E457" s="10" t="n"/>
      <c r="F457" s="10" t="n"/>
      <c r="G457" s="12" t="n"/>
      <c r="H457" s="13" t="n"/>
      <c r="I457" s="13" t="n"/>
      <c r="J457" s="13" t="n"/>
      <c r="K457" s="13" t="n"/>
      <c r="L457" s="13" t="n"/>
      <c r="M457" s="14">
        <f>IFERROR(IF(A457="","",IFERROR(VLOOKUP(A457,Raw_PriorMonth!A:E,5,FALSE),0)),0)</f>
        <v/>
      </c>
      <c r="N457" s="14">
        <f>IF(A457="","",IFERROR(E457,0)+IFERROR(M457,0))</f>
        <v/>
      </c>
      <c r="O457" s="15">
        <f>IF(A457="","",IF(N457&gt;=28,TRUE,FALSE))</f>
        <v/>
      </c>
      <c r="P457" s="15">
        <f>IF(A457="","",OR(G457=TRUE,O457=TRUE))</f>
        <v/>
      </c>
      <c r="Q457" s="16">
        <f>IF(A457="","",IFERROR(H457,0)+IFERROR(I457,0)+IFERROR(J457,0)+IFERROR(K457,0)+IFERROR(L457,0))</f>
        <v/>
      </c>
      <c r="R457" s="16">
        <f>IF(A457="","",IF(P457=TRUE,0,Q457))</f>
        <v/>
      </c>
      <c r="S457" s="16">
        <f>IF(A457="","",IF(P457=TRUE,0,IFERROR(H457,0)))</f>
        <v/>
      </c>
      <c r="T457" s="16">
        <f>IF(A457="","",IF(P457=TRUE,0,IFERROR(I457,0)))</f>
        <v/>
      </c>
      <c r="U457" s="16">
        <f>IF(A457="","",IF(P457=TRUE,0,IFERROR(J457,0)))</f>
        <v/>
      </c>
      <c r="V457" s="16">
        <f>IF(A457="","",IF(P457=TRUE,0,IFERROR(K457,0)))</f>
        <v/>
      </c>
      <c r="W457" s="16">
        <f>IF(A457="","",IF(P457=TRUE,0,IFERROR(L457,0)))</f>
        <v/>
      </c>
      <c r="X457" s="16">
        <f>IF(A457="","",IF(P457=TRUE,0,IFERROR(H457,0)+IFERROR(I457,0)+IFERROR(L457,0)))</f>
        <v/>
      </c>
      <c r="Y457" s="16">
        <f>IF(A457="",0,IF(G457=TRUE,IFERROR(H457,0)+IFERROR(I457,0)+IFERROR(J457,0)+IFERROR(K457,0)+IFERROR(L457,0),0))</f>
        <v/>
      </c>
      <c r="Z457" s="16">
        <f>IF(A457="",0,IF(AND(O457=TRUE,G457&lt;&gt;TRUE),IFERROR(H457,0)+IFERROR(I457,0)+IFERROR(J457,0)+IFERROR(K457,0)+IFERROR(L457,0),0))</f>
        <v/>
      </c>
    </row>
    <row r="458">
      <c r="A458" s="10" t="n"/>
      <c r="B458" s="10" t="n"/>
      <c r="C458" s="11" t="n"/>
      <c r="D458" s="11" t="n"/>
      <c r="E458" s="10" t="n"/>
      <c r="F458" s="10" t="n"/>
      <c r="G458" s="12" t="n"/>
      <c r="H458" s="13" t="n"/>
      <c r="I458" s="13" t="n"/>
      <c r="J458" s="13" t="n"/>
      <c r="K458" s="13" t="n"/>
      <c r="L458" s="13" t="n"/>
      <c r="M458" s="14">
        <f>IFERROR(IF(A458="","",IFERROR(VLOOKUP(A458,Raw_PriorMonth!A:E,5,FALSE),0)),0)</f>
        <v/>
      </c>
      <c r="N458" s="14">
        <f>IF(A458="","",IFERROR(E458,0)+IFERROR(M458,0))</f>
        <v/>
      </c>
      <c r="O458" s="15">
        <f>IF(A458="","",IF(N458&gt;=28,TRUE,FALSE))</f>
        <v/>
      </c>
      <c r="P458" s="15">
        <f>IF(A458="","",OR(G458=TRUE,O458=TRUE))</f>
        <v/>
      </c>
      <c r="Q458" s="16">
        <f>IF(A458="","",IFERROR(H458,0)+IFERROR(I458,0)+IFERROR(J458,0)+IFERROR(K458,0)+IFERROR(L458,0))</f>
        <v/>
      </c>
      <c r="R458" s="16">
        <f>IF(A458="","",IF(P458=TRUE,0,Q458))</f>
        <v/>
      </c>
      <c r="S458" s="16">
        <f>IF(A458="","",IF(P458=TRUE,0,IFERROR(H458,0)))</f>
        <v/>
      </c>
      <c r="T458" s="16">
        <f>IF(A458="","",IF(P458=TRUE,0,IFERROR(I458,0)))</f>
        <v/>
      </c>
      <c r="U458" s="16">
        <f>IF(A458="","",IF(P458=TRUE,0,IFERROR(J458,0)))</f>
        <v/>
      </c>
      <c r="V458" s="16">
        <f>IF(A458="","",IF(P458=TRUE,0,IFERROR(K458,0)))</f>
        <v/>
      </c>
      <c r="W458" s="16">
        <f>IF(A458="","",IF(P458=TRUE,0,IFERROR(L458,0)))</f>
        <v/>
      </c>
      <c r="X458" s="16">
        <f>IF(A458="","",IF(P458=TRUE,0,IFERROR(H458,0)+IFERROR(I458,0)+IFERROR(L458,0)))</f>
        <v/>
      </c>
      <c r="Y458" s="16">
        <f>IF(A458="",0,IF(G458=TRUE,IFERROR(H458,0)+IFERROR(I458,0)+IFERROR(J458,0)+IFERROR(K458,0)+IFERROR(L458,0),0))</f>
        <v/>
      </c>
      <c r="Z458" s="16">
        <f>IF(A458="",0,IF(AND(O458=TRUE,G458&lt;&gt;TRUE),IFERROR(H458,0)+IFERROR(I458,0)+IFERROR(J458,0)+IFERROR(K458,0)+IFERROR(L458,0),0))</f>
        <v/>
      </c>
    </row>
    <row r="459">
      <c r="A459" s="10" t="n"/>
      <c r="B459" s="10" t="n"/>
      <c r="C459" s="11" t="n"/>
      <c r="D459" s="11" t="n"/>
      <c r="E459" s="10" t="n"/>
      <c r="F459" s="10" t="n"/>
      <c r="G459" s="12" t="n"/>
      <c r="H459" s="13" t="n"/>
      <c r="I459" s="13" t="n"/>
      <c r="J459" s="13" t="n"/>
      <c r="K459" s="13" t="n"/>
      <c r="L459" s="13" t="n"/>
      <c r="M459" s="14">
        <f>IFERROR(IF(A459="","",IFERROR(VLOOKUP(A459,Raw_PriorMonth!A:E,5,FALSE),0)),0)</f>
        <v/>
      </c>
      <c r="N459" s="14">
        <f>IF(A459="","",IFERROR(E459,0)+IFERROR(M459,0))</f>
        <v/>
      </c>
      <c r="O459" s="15">
        <f>IF(A459="","",IF(N459&gt;=28,TRUE,FALSE))</f>
        <v/>
      </c>
      <c r="P459" s="15">
        <f>IF(A459="","",OR(G459=TRUE,O459=TRUE))</f>
        <v/>
      </c>
      <c r="Q459" s="16">
        <f>IF(A459="","",IFERROR(H459,0)+IFERROR(I459,0)+IFERROR(J459,0)+IFERROR(K459,0)+IFERROR(L459,0))</f>
        <v/>
      </c>
      <c r="R459" s="16">
        <f>IF(A459="","",IF(P459=TRUE,0,Q459))</f>
        <v/>
      </c>
      <c r="S459" s="16">
        <f>IF(A459="","",IF(P459=TRUE,0,IFERROR(H459,0)))</f>
        <v/>
      </c>
      <c r="T459" s="16">
        <f>IF(A459="","",IF(P459=TRUE,0,IFERROR(I459,0)))</f>
        <v/>
      </c>
      <c r="U459" s="16">
        <f>IF(A459="","",IF(P459=TRUE,0,IFERROR(J459,0)))</f>
        <v/>
      </c>
      <c r="V459" s="16">
        <f>IF(A459="","",IF(P459=TRUE,0,IFERROR(K459,0)))</f>
        <v/>
      </c>
      <c r="W459" s="16">
        <f>IF(A459="","",IF(P459=TRUE,0,IFERROR(L459,0)))</f>
        <v/>
      </c>
      <c r="X459" s="16">
        <f>IF(A459="","",IF(P459=TRUE,0,IFERROR(H459,0)+IFERROR(I459,0)+IFERROR(L459,0)))</f>
        <v/>
      </c>
      <c r="Y459" s="16">
        <f>IF(A459="",0,IF(G459=TRUE,IFERROR(H459,0)+IFERROR(I459,0)+IFERROR(J459,0)+IFERROR(K459,0)+IFERROR(L459,0),0))</f>
        <v/>
      </c>
      <c r="Z459" s="16">
        <f>IF(A459="",0,IF(AND(O459=TRUE,G459&lt;&gt;TRUE),IFERROR(H459,0)+IFERROR(I459,0)+IFERROR(J459,0)+IFERROR(K459,0)+IFERROR(L459,0),0))</f>
        <v/>
      </c>
    </row>
    <row r="460">
      <c r="A460" s="10" t="n"/>
      <c r="B460" s="10" t="n"/>
      <c r="C460" s="11" t="n"/>
      <c r="D460" s="11" t="n"/>
      <c r="E460" s="10" t="n"/>
      <c r="F460" s="10" t="n"/>
      <c r="G460" s="12" t="n"/>
      <c r="H460" s="13" t="n"/>
      <c r="I460" s="13" t="n"/>
      <c r="J460" s="13" t="n"/>
      <c r="K460" s="13" t="n"/>
      <c r="L460" s="13" t="n"/>
      <c r="M460" s="14">
        <f>IFERROR(IF(A460="","",IFERROR(VLOOKUP(A460,Raw_PriorMonth!A:E,5,FALSE),0)),0)</f>
        <v/>
      </c>
      <c r="N460" s="14">
        <f>IF(A460="","",IFERROR(E460,0)+IFERROR(M460,0))</f>
        <v/>
      </c>
      <c r="O460" s="15">
        <f>IF(A460="","",IF(N460&gt;=28,TRUE,FALSE))</f>
        <v/>
      </c>
      <c r="P460" s="15">
        <f>IF(A460="","",OR(G460=TRUE,O460=TRUE))</f>
        <v/>
      </c>
      <c r="Q460" s="16">
        <f>IF(A460="","",IFERROR(H460,0)+IFERROR(I460,0)+IFERROR(J460,0)+IFERROR(K460,0)+IFERROR(L460,0))</f>
        <v/>
      </c>
      <c r="R460" s="16">
        <f>IF(A460="","",IF(P460=TRUE,0,Q460))</f>
        <v/>
      </c>
      <c r="S460" s="16">
        <f>IF(A460="","",IF(P460=TRUE,0,IFERROR(H460,0)))</f>
        <v/>
      </c>
      <c r="T460" s="16">
        <f>IF(A460="","",IF(P460=TRUE,0,IFERROR(I460,0)))</f>
        <v/>
      </c>
      <c r="U460" s="16">
        <f>IF(A460="","",IF(P460=TRUE,0,IFERROR(J460,0)))</f>
        <v/>
      </c>
      <c r="V460" s="16">
        <f>IF(A460="","",IF(P460=TRUE,0,IFERROR(K460,0)))</f>
        <v/>
      </c>
      <c r="W460" s="16">
        <f>IF(A460="","",IF(P460=TRUE,0,IFERROR(L460,0)))</f>
        <v/>
      </c>
      <c r="X460" s="16">
        <f>IF(A460="","",IF(P460=TRUE,0,IFERROR(H460,0)+IFERROR(I460,0)+IFERROR(L460,0)))</f>
        <v/>
      </c>
      <c r="Y460" s="16">
        <f>IF(A460="",0,IF(G460=TRUE,IFERROR(H460,0)+IFERROR(I460,0)+IFERROR(J460,0)+IFERROR(K460,0)+IFERROR(L460,0),0))</f>
        <v/>
      </c>
      <c r="Z460" s="16">
        <f>IF(A460="",0,IF(AND(O460=TRUE,G460&lt;&gt;TRUE),IFERROR(H460,0)+IFERROR(I460,0)+IFERROR(J460,0)+IFERROR(K460,0)+IFERROR(L460,0),0))</f>
        <v/>
      </c>
    </row>
    <row r="461">
      <c r="A461" s="10" t="n"/>
      <c r="B461" s="10" t="n"/>
      <c r="C461" s="11" t="n"/>
      <c r="D461" s="11" t="n"/>
      <c r="E461" s="10" t="n"/>
      <c r="F461" s="10" t="n"/>
      <c r="G461" s="12" t="n"/>
      <c r="H461" s="13" t="n"/>
      <c r="I461" s="13" t="n"/>
      <c r="J461" s="13" t="n"/>
      <c r="K461" s="13" t="n"/>
      <c r="L461" s="13" t="n"/>
      <c r="M461" s="14">
        <f>IFERROR(IF(A461="","",IFERROR(VLOOKUP(A461,Raw_PriorMonth!A:E,5,FALSE),0)),0)</f>
        <v/>
      </c>
      <c r="N461" s="14">
        <f>IF(A461="","",IFERROR(E461,0)+IFERROR(M461,0))</f>
        <v/>
      </c>
      <c r="O461" s="15">
        <f>IF(A461="","",IF(N461&gt;=28,TRUE,FALSE))</f>
        <v/>
      </c>
      <c r="P461" s="15">
        <f>IF(A461="","",OR(G461=TRUE,O461=TRUE))</f>
        <v/>
      </c>
      <c r="Q461" s="16">
        <f>IF(A461="","",IFERROR(H461,0)+IFERROR(I461,0)+IFERROR(J461,0)+IFERROR(K461,0)+IFERROR(L461,0))</f>
        <v/>
      </c>
      <c r="R461" s="16">
        <f>IF(A461="","",IF(P461=TRUE,0,Q461))</f>
        <v/>
      </c>
      <c r="S461" s="16">
        <f>IF(A461="","",IF(P461=TRUE,0,IFERROR(H461,0)))</f>
        <v/>
      </c>
      <c r="T461" s="16">
        <f>IF(A461="","",IF(P461=TRUE,0,IFERROR(I461,0)))</f>
        <v/>
      </c>
      <c r="U461" s="16">
        <f>IF(A461="","",IF(P461=TRUE,0,IFERROR(J461,0)))</f>
        <v/>
      </c>
      <c r="V461" s="16">
        <f>IF(A461="","",IF(P461=TRUE,0,IFERROR(K461,0)))</f>
        <v/>
      </c>
      <c r="W461" s="16">
        <f>IF(A461="","",IF(P461=TRUE,0,IFERROR(L461,0)))</f>
        <v/>
      </c>
      <c r="X461" s="16">
        <f>IF(A461="","",IF(P461=TRUE,0,IFERROR(H461,0)+IFERROR(I461,0)+IFERROR(L461,0)))</f>
        <v/>
      </c>
      <c r="Y461" s="16">
        <f>IF(A461="",0,IF(G461=TRUE,IFERROR(H461,0)+IFERROR(I461,0)+IFERROR(J461,0)+IFERROR(K461,0)+IFERROR(L461,0),0))</f>
        <v/>
      </c>
      <c r="Z461" s="16">
        <f>IF(A461="",0,IF(AND(O461=TRUE,G461&lt;&gt;TRUE),IFERROR(H461,0)+IFERROR(I461,0)+IFERROR(J461,0)+IFERROR(K461,0)+IFERROR(L461,0),0))</f>
        <v/>
      </c>
    </row>
    <row r="462">
      <c r="A462" s="10" t="n"/>
      <c r="B462" s="10" t="n"/>
      <c r="C462" s="11" t="n"/>
      <c r="D462" s="11" t="n"/>
      <c r="E462" s="10" t="n"/>
      <c r="F462" s="10" t="n"/>
      <c r="G462" s="12" t="n"/>
      <c r="H462" s="13" t="n"/>
      <c r="I462" s="13" t="n"/>
      <c r="J462" s="13" t="n"/>
      <c r="K462" s="13" t="n"/>
      <c r="L462" s="13" t="n"/>
      <c r="M462" s="14">
        <f>IFERROR(IF(A462="","",IFERROR(VLOOKUP(A462,Raw_PriorMonth!A:E,5,FALSE),0)),0)</f>
        <v/>
      </c>
      <c r="N462" s="14">
        <f>IF(A462="","",IFERROR(E462,0)+IFERROR(M462,0))</f>
        <v/>
      </c>
      <c r="O462" s="15">
        <f>IF(A462="","",IF(N462&gt;=28,TRUE,FALSE))</f>
        <v/>
      </c>
      <c r="P462" s="15">
        <f>IF(A462="","",OR(G462=TRUE,O462=TRUE))</f>
        <v/>
      </c>
      <c r="Q462" s="16">
        <f>IF(A462="","",IFERROR(H462,0)+IFERROR(I462,0)+IFERROR(J462,0)+IFERROR(K462,0)+IFERROR(L462,0))</f>
        <v/>
      </c>
      <c r="R462" s="16">
        <f>IF(A462="","",IF(P462=TRUE,0,Q462))</f>
        <v/>
      </c>
      <c r="S462" s="16">
        <f>IF(A462="","",IF(P462=TRUE,0,IFERROR(H462,0)))</f>
        <v/>
      </c>
      <c r="T462" s="16">
        <f>IF(A462="","",IF(P462=TRUE,0,IFERROR(I462,0)))</f>
        <v/>
      </c>
      <c r="U462" s="16">
        <f>IF(A462="","",IF(P462=TRUE,0,IFERROR(J462,0)))</f>
        <v/>
      </c>
      <c r="V462" s="16">
        <f>IF(A462="","",IF(P462=TRUE,0,IFERROR(K462,0)))</f>
        <v/>
      </c>
      <c r="W462" s="16">
        <f>IF(A462="","",IF(P462=TRUE,0,IFERROR(L462,0)))</f>
        <v/>
      </c>
      <c r="X462" s="16">
        <f>IF(A462="","",IF(P462=TRUE,0,IFERROR(H462,0)+IFERROR(I462,0)+IFERROR(L462,0)))</f>
        <v/>
      </c>
      <c r="Y462" s="16">
        <f>IF(A462="",0,IF(G462=TRUE,IFERROR(H462,0)+IFERROR(I462,0)+IFERROR(J462,0)+IFERROR(K462,0)+IFERROR(L462,0),0))</f>
        <v/>
      </c>
      <c r="Z462" s="16">
        <f>IF(A462="",0,IF(AND(O462=TRUE,G462&lt;&gt;TRUE),IFERROR(H462,0)+IFERROR(I462,0)+IFERROR(J462,0)+IFERROR(K462,0)+IFERROR(L462,0),0))</f>
        <v/>
      </c>
    </row>
    <row r="463">
      <c r="A463" s="10" t="n"/>
      <c r="B463" s="10" t="n"/>
      <c r="C463" s="11" t="n"/>
      <c r="D463" s="11" t="n"/>
      <c r="E463" s="10" t="n"/>
      <c r="F463" s="10" t="n"/>
      <c r="G463" s="12" t="n"/>
      <c r="H463" s="13" t="n"/>
      <c r="I463" s="13" t="n"/>
      <c r="J463" s="13" t="n"/>
      <c r="K463" s="13" t="n"/>
      <c r="L463" s="13" t="n"/>
      <c r="M463" s="14">
        <f>IFERROR(IF(A463="","",IFERROR(VLOOKUP(A463,Raw_PriorMonth!A:E,5,FALSE),0)),0)</f>
        <v/>
      </c>
      <c r="N463" s="14">
        <f>IF(A463="","",IFERROR(E463,0)+IFERROR(M463,0))</f>
        <v/>
      </c>
      <c r="O463" s="15">
        <f>IF(A463="","",IF(N463&gt;=28,TRUE,FALSE))</f>
        <v/>
      </c>
      <c r="P463" s="15">
        <f>IF(A463="","",OR(G463=TRUE,O463=TRUE))</f>
        <v/>
      </c>
      <c r="Q463" s="16">
        <f>IF(A463="","",IFERROR(H463,0)+IFERROR(I463,0)+IFERROR(J463,0)+IFERROR(K463,0)+IFERROR(L463,0))</f>
        <v/>
      </c>
      <c r="R463" s="16">
        <f>IF(A463="","",IF(P463=TRUE,0,Q463))</f>
        <v/>
      </c>
      <c r="S463" s="16">
        <f>IF(A463="","",IF(P463=TRUE,0,IFERROR(H463,0)))</f>
        <v/>
      </c>
      <c r="T463" s="16">
        <f>IF(A463="","",IF(P463=TRUE,0,IFERROR(I463,0)))</f>
        <v/>
      </c>
      <c r="U463" s="16">
        <f>IF(A463="","",IF(P463=TRUE,0,IFERROR(J463,0)))</f>
        <v/>
      </c>
      <c r="V463" s="16">
        <f>IF(A463="","",IF(P463=TRUE,0,IFERROR(K463,0)))</f>
        <v/>
      </c>
      <c r="W463" s="16">
        <f>IF(A463="","",IF(P463=TRUE,0,IFERROR(L463,0)))</f>
        <v/>
      </c>
      <c r="X463" s="16">
        <f>IF(A463="","",IF(P463=TRUE,0,IFERROR(H463,0)+IFERROR(I463,0)+IFERROR(L463,0)))</f>
        <v/>
      </c>
      <c r="Y463" s="16">
        <f>IF(A463="",0,IF(G463=TRUE,IFERROR(H463,0)+IFERROR(I463,0)+IFERROR(J463,0)+IFERROR(K463,0)+IFERROR(L463,0),0))</f>
        <v/>
      </c>
      <c r="Z463" s="16">
        <f>IF(A463="",0,IF(AND(O463=TRUE,G463&lt;&gt;TRUE),IFERROR(H463,0)+IFERROR(I463,0)+IFERROR(J463,0)+IFERROR(K463,0)+IFERROR(L463,0),0))</f>
        <v/>
      </c>
    </row>
    <row r="464">
      <c r="A464" s="10" t="n"/>
      <c r="B464" s="10" t="n"/>
      <c r="C464" s="11" t="n"/>
      <c r="D464" s="11" t="n"/>
      <c r="E464" s="10" t="n"/>
      <c r="F464" s="10" t="n"/>
      <c r="G464" s="12" t="n"/>
      <c r="H464" s="13" t="n"/>
      <c r="I464" s="13" t="n"/>
      <c r="J464" s="13" t="n"/>
      <c r="K464" s="13" t="n"/>
      <c r="L464" s="13" t="n"/>
      <c r="M464" s="14">
        <f>IFERROR(IF(A464="","",IFERROR(VLOOKUP(A464,Raw_PriorMonth!A:E,5,FALSE),0)),0)</f>
        <v/>
      </c>
      <c r="N464" s="14">
        <f>IF(A464="","",IFERROR(E464,0)+IFERROR(M464,0))</f>
        <v/>
      </c>
      <c r="O464" s="15">
        <f>IF(A464="","",IF(N464&gt;=28,TRUE,FALSE))</f>
        <v/>
      </c>
      <c r="P464" s="15">
        <f>IF(A464="","",OR(G464=TRUE,O464=TRUE))</f>
        <v/>
      </c>
      <c r="Q464" s="16">
        <f>IF(A464="","",IFERROR(H464,0)+IFERROR(I464,0)+IFERROR(J464,0)+IFERROR(K464,0)+IFERROR(L464,0))</f>
        <v/>
      </c>
      <c r="R464" s="16">
        <f>IF(A464="","",IF(P464=TRUE,0,Q464))</f>
        <v/>
      </c>
      <c r="S464" s="16">
        <f>IF(A464="","",IF(P464=TRUE,0,IFERROR(H464,0)))</f>
        <v/>
      </c>
      <c r="T464" s="16">
        <f>IF(A464="","",IF(P464=TRUE,0,IFERROR(I464,0)))</f>
        <v/>
      </c>
      <c r="U464" s="16">
        <f>IF(A464="","",IF(P464=TRUE,0,IFERROR(J464,0)))</f>
        <v/>
      </c>
      <c r="V464" s="16">
        <f>IF(A464="","",IF(P464=TRUE,0,IFERROR(K464,0)))</f>
        <v/>
      </c>
      <c r="W464" s="16">
        <f>IF(A464="","",IF(P464=TRUE,0,IFERROR(L464,0)))</f>
        <v/>
      </c>
      <c r="X464" s="16">
        <f>IF(A464="","",IF(P464=TRUE,0,IFERROR(H464,0)+IFERROR(I464,0)+IFERROR(L464,0)))</f>
        <v/>
      </c>
      <c r="Y464" s="16">
        <f>IF(A464="",0,IF(G464=TRUE,IFERROR(H464,0)+IFERROR(I464,0)+IFERROR(J464,0)+IFERROR(K464,0)+IFERROR(L464,0),0))</f>
        <v/>
      </c>
      <c r="Z464" s="16">
        <f>IF(A464="",0,IF(AND(O464=TRUE,G464&lt;&gt;TRUE),IFERROR(H464,0)+IFERROR(I464,0)+IFERROR(J464,0)+IFERROR(K464,0)+IFERROR(L464,0),0))</f>
        <v/>
      </c>
    </row>
    <row r="465">
      <c r="A465" s="10" t="n"/>
      <c r="B465" s="10" t="n"/>
      <c r="C465" s="11" t="n"/>
      <c r="D465" s="11" t="n"/>
      <c r="E465" s="10" t="n"/>
      <c r="F465" s="10" t="n"/>
      <c r="G465" s="12" t="n"/>
      <c r="H465" s="13" t="n"/>
      <c r="I465" s="13" t="n"/>
      <c r="J465" s="13" t="n"/>
      <c r="K465" s="13" t="n"/>
      <c r="L465" s="13" t="n"/>
      <c r="M465" s="14">
        <f>IFERROR(IF(A465="","",IFERROR(VLOOKUP(A465,Raw_PriorMonth!A:E,5,FALSE),0)),0)</f>
        <v/>
      </c>
      <c r="N465" s="14">
        <f>IF(A465="","",IFERROR(E465,0)+IFERROR(M465,0))</f>
        <v/>
      </c>
      <c r="O465" s="15">
        <f>IF(A465="","",IF(N465&gt;=28,TRUE,FALSE))</f>
        <v/>
      </c>
      <c r="P465" s="15">
        <f>IF(A465="","",OR(G465=TRUE,O465=TRUE))</f>
        <v/>
      </c>
      <c r="Q465" s="16">
        <f>IF(A465="","",IFERROR(H465,0)+IFERROR(I465,0)+IFERROR(J465,0)+IFERROR(K465,0)+IFERROR(L465,0))</f>
        <v/>
      </c>
      <c r="R465" s="16">
        <f>IF(A465="","",IF(P465=TRUE,0,Q465))</f>
        <v/>
      </c>
      <c r="S465" s="16">
        <f>IF(A465="","",IF(P465=TRUE,0,IFERROR(H465,0)))</f>
        <v/>
      </c>
      <c r="T465" s="16">
        <f>IF(A465="","",IF(P465=TRUE,0,IFERROR(I465,0)))</f>
        <v/>
      </c>
      <c r="U465" s="16">
        <f>IF(A465="","",IF(P465=TRUE,0,IFERROR(J465,0)))</f>
        <v/>
      </c>
      <c r="V465" s="16">
        <f>IF(A465="","",IF(P465=TRUE,0,IFERROR(K465,0)))</f>
        <v/>
      </c>
      <c r="W465" s="16">
        <f>IF(A465="","",IF(P465=TRUE,0,IFERROR(L465,0)))</f>
        <v/>
      </c>
      <c r="X465" s="16">
        <f>IF(A465="","",IF(P465=TRUE,0,IFERROR(H465,0)+IFERROR(I465,0)+IFERROR(L465,0)))</f>
        <v/>
      </c>
      <c r="Y465" s="16">
        <f>IF(A465="",0,IF(G465=TRUE,IFERROR(H465,0)+IFERROR(I465,0)+IFERROR(J465,0)+IFERROR(K465,0)+IFERROR(L465,0),0))</f>
        <v/>
      </c>
      <c r="Z465" s="16">
        <f>IF(A465="",0,IF(AND(O465=TRUE,G465&lt;&gt;TRUE),IFERROR(H465,0)+IFERROR(I465,0)+IFERROR(J465,0)+IFERROR(K465,0)+IFERROR(L465,0),0))</f>
        <v/>
      </c>
    </row>
    <row r="466">
      <c r="A466" s="10" t="n"/>
      <c r="B466" s="10" t="n"/>
      <c r="C466" s="11" t="n"/>
      <c r="D466" s="11" t="n"/>
      <c r="E466" s="10" t="n"/>
      <c r="F466" s="10" t="n"/>
      <c r="G466" s="12" t="n"/>
      <c r="H466" s="13" t="n"/>
      <c r="I466" s="13" t="n"/>
      <c r="J466" s="13" t="n"/>
      <c r="K466" s="13" t="n"/>
      <c r="L466" s="13" t="n"/>
      <c r="M466" s="14">
        <f>IFERROR(IF(A466="","",IFERROR(VLOOKUP(A466,Raw_PriorMonth!A:E,5,FALSE),0)),0)</f>
        <v/>
      </c>
      <c r="N466" s="14">
        <f>IF(A466="","",IFERROR(E466,0)+IFERROR(M466,0))</f>
        <v/>
      </c>
      <c r="O466" s="15">
        <f>IF(A466="","",IF(N466&gt;=28,TRUE,FALSE))</f>
        <v/>
      </c>
      <c r="P466" s="15">
        <f>IF(A466="","",OR(G466=TRUE,O466=TRUE))</f>
        <v/>
      </c>
      <c r="Q466" s="16">
        <f>IF(A466="","",IFERROR(H466,0)+IFERROR(I466,0)+IFERROR(J466,0)+IFERROR(K466,0)+IFERROR(L466,0))</f>
        <v/>
      </c>
      <c r="R466" s="16">
        <f>IF(A466="","",IF(P466=TRUE,0,Q466))</f>
        <v/>
      </c>
      <c r="S466" s="16">
        <f>IF(A466="","",IF(P466=TRUE,0,IFERROR(H466,0)))</f>
        <v/>
      </c>
      <c r="T466" s="16">
        <f>IF(A466="","",IF(P466=TRUE,0,IFERROR(I466,0)))</f>
        <v/>
      </c>
      <c r="U466" s="16">
        <f>IF(A466="","",IF(P466=TRUE,0,IFERROR(J466,0)))</f>
        <v/>
      </c>
      <c r="V466" s="16">
        <f>IF(A466="","",IF(P466=TRUE,0,IFERROR(K466,0)))</f>
        <v/>
      </c>
      <c r="W466" s="16">
        <f>IF(A466="","",IF(P466=TRUE,0,IFERROR(L466,0)))</f>
        <v/>
      </c>
      <c r="X466" s="16">
        <f>IF(A466="","",IF(P466=TRUE,0,IFERROR(H466,0)+IFERROR(I466,0)+IFERROR(L466,0)))</f>
        <v/>
      </c>
      <c r="Y466" s="16">
        <f>IF(A466="",0,IF(G466=TRUE,IFERROR(H466,0)+IFERROR(I466,0)+IFERROR(J466,0)+IFERROR(K466,0)+IFERROR(L466,0),0))</f>
        <v/>
      </c>
      <c r="Z466" s="16">
        <f>IF(A466="",0,IF(AND(O466=TRUE,G466&lt;&gt;TRUE),IFERROR(H466,0)+IFERROR(I466,0)+IFERROR(J466,0)+IFERROR(K466,0)+IFERROR(L466,0),0))</f>
        <v/>
      </c>
    </row>
    <row r="467">
      <c r="A467" s="10" t="n"/>
      <c r="B467" s="10" t="n"/>
      <c r="C467" s="11" t="n"/>
      <c r="D467" s="11" t="n"/>
      <c r="E467" s="10" t="n"/>
      <c r="F467" s="10" t="n"/>
      <c r="G467" s="12" t="n"/>
      <c r="H467" s="13" t="n"/>
      <c r="I467" s="13" t="n"/>
      <c r="J467" s="13" t="n"/>
      <c r="K467" s="13" t="n"/>
      <c r="L467" s="13" t="n"/>
      <c r="M467" s="14">
        <f>IFERROR(IF(A467="","",IFERROR(VLOOKUP(A467,Raw_PriorMonth!A:E,5,FALSE),0)),0)</f>
        <v/>
      </c>
      <c r="N467" s="14">
        <f>IF(A467="","",IFERROR(E467,0)+IFERROR(M467,0))</f>
        <v/>
      </c>
      <c r="O467" s="15">
        <f>IF(A467="","",IF(N467&gt;=28,TRUE,FALSE))</f>
        <v/>
      </c>
      <c r="P467" s="15">
        <f>IF(A467="","",OR(G467=TRUE,O467=TRUE))</f>
        <v/>
      </c>
      <c r="Q467" s="16">
        <f>IF(A467="","",IFERROR(H467,0)+IFERROR(I467,0)+IFERROR(J467,0)+IFERROR(K467,0)+IFERROR(L467,0))</f>
        <v/>
      </c>
      <c r="R467" s="16">
        <f>IF(A467="","",IF(P467=TRUE,0,Q467))</f>
        <v/>
      </c>
      <c r="S467" s="16">
        <f>IF(A467="","",IF(P467=TRUE,0,IFERROR(H467,0)))</f>
        <v/>
      </c>
      <c r="T467" s="16">
        <f>IF(A467="","",IF(P467=TRUE,0,IFERROR(I467,0)))</f>
        <v/>
      </c>
      <c r="U467" s="16">
        <f>IF(A467="","",IF(P467=TRUE,0,IFERROR(J467,0)))</f>
        <v/>
      </c>
      <c r="V467" s="16">
        <f>IF(A467="","",IF(P467=TRUE,0,IFERROR(K467,0)))</f>
        <v/>
      </c>
      <c r="W467" s="16">
        <f>IF(A467="","",IF(P467=TRUE,0,IFERROR(L467,0)))</f>
        <v/>
      </c>
      <c r="X467" s="16">
        <f>IF(A467="","",IF(P467=TRUE,0,IFERROR(H467,0)+IFERROR(I467,0)+IFERROR(L467,0)))</f>
        <v/>
      </c>
      <c r="Y467" s="16">
        <f>IF(A467="",0,IF(G467=TRUE,IFERROR(H467,0)+IFERROR(I467,0)+IFERROR(J467,0)+IFERROR(K467,0)+IFERROR(L467,0),0))</f>
        <v/>
      </c>
      <c r="Z467" s="16">
        <f>IF(A467="",0,IF(AND(O467=TRUE,G467&lt;&gt;TRUE),IFERROR(H467,0)+IFERROR(I467,0)+IFERROR(J467,0)+IFERROR(K467,0)+IFERROR(L467,0),0))</f>
        <v/>
      </c>
    </row>
    <row r="468">
      <c r="A468" s="10" t="n"/>
      <c r="B468" s="10" t="n"/>
      <c r="C468" s="11" t="n"/>
      <c r="D468" s="11" t="n"/>
      <c r="E468" s="10" t="n"/>
      <c r="F468" s="10" t="n"/>
      <c r="G468" s="12" t="n"/>
      <c r="H468" s="13" t="n"/>
      <c r="I468" s="13" t="n"/>
      <c r="J468" s="13" t="n"/>
      <c r="K468" s="13" t="n"/>
      <c r="L468" s="13" t="n"/>
      <c r="M468" s="14">
        <f>IFERROR(IF(A468="","",IFERROR(VLOOKUP(A468,Raw_PriorMonth!A:E,5,FALSE),0)),0)</f>
        <v/>
      </c>
      <c r="N468" s="14">
        <f>IF(A468="","",IFERROR(E468,0)+IFERROR(M468,0))</f>
        <v/>
      </c>
      <c r="O468" s="15">
        <f>IF(A468="","",IF(N468&gt;=28,TRUE,FALSE))</f>
        <v/>
      </c>
      <c r="P468" s="15">
        <f>IF(A468="","",OR(G468=TRUE,O468=TRUE))</f>
        <v/>
      </c>
      <c r="Q468" s="16">
        <f>IF(A468="","",IFERROR(H468,0)+IFERROR(I468,0)+IFERROR(J468,0)+IFERROR(K468,0)+IFERROR(L468,0))</f>
        <v/>
      </c>
      <c r="R468" s="16">
        <f>IF(A468="","",IF(P468=TRUE,0,Q468))</f>
        <v/>
      </c>
      <c r="S468" s="16">
        <f>IF(A468="","",IF(P468=TRUE,0,IFERROR(H468,0)))</f>
        <v/>
      </c>
      <c r="T468" s="16">
        <f>IF(A468="","",IF(P468=TRUE,0,IFERROR(I468,0)))</f>
        <v/>
      </c>
      <c r="U468" s="16">
        <f>IF(A468="","",IF(P468=TRUE,0,IFERROR(J468,0)))</f>
        <v/>
      </c>
      <c r="V468" s="16">
        <f>IF(A468="","",IF(P468=TRUE,0,IFERROR(K468,0)))</f>
        <v/>
      </c>
      <c r="W468" s="16">
        <f>IF(A468="","",IF(P468=TRUE,0,IFERROR(L468,0)))</f>
        <v/>
      </c>
      <c r="X468" s="16">
        <f>IF(A468="","",IF(P468=TRUE,0,IFERROR(H468,0)+IFERROR(I468,0)+IFERROR(L468,0)))</f>
        <v/>
      </c>
      <c r="Y468" s="16">
        <f>IF(A468="",0,IF(G468=TRUE,IFERROR(H468,0)+IFERROR(I468,0)+IFERROR(J468,0)+IFERROR(K468,0)+IFERROR(L468,0),0))</f>
        <v/>
      </c>
      <c r="Z468" s="16">
        <f>IF(A468="",0,IF(AND(O468=TRUE,G468&lt;&gt;TRUE),IFERROR(H468,0)+IFERROR(I468,0)+IFERROR(J468,0)+IFERROR(K468,0)+IFERROR(L468,0),0))</f>
        <v/>
      </c>
    </row>
    <row r="469">
      <c r="A469" s="10" t="n"/>
      <c r="B469" s="10" t="n"/>
      <c r="C469" s="11" t="n"/>
      <c r="D469" s="11" t="n"/>
      <c r="E469" s="10" t="n"/>
      <c r="F469" s="10" t="n"/>
      <c r="G469" s="12" t="n"/>
      <c r="H469" s="13" t="n"/>
      <c r="I469" s="13" t="n"/>
      <c r="J469" s="13" t="n"/>
      <c r="K469" s="13" t="n"/>
      <c r="L469" s="13" t="n"/>
      <c r="M469" s="14">
        <f>IFERROR(IF(A469="","",IFERROR(VLOOKUP(A469,Raw_PriorMonth!A:E,5,FALSE),0)),0)</f>
        <v/>
      </c>
      <c r="N469" s="14">
        <f>IF(A469="","",IFERROR(E469,0)+IFERROR(M469,0))</f>
        <v/>
      </c>
      <c r="O469" s="15">
        <f>IF(A469="","",IF(N469&gt;=28,TRUE,FALSE))</f>
        <v/>
      </c>
      <c r="P469" s="15">
        <f>IF(A469="","",OR(G469=TRUE,O469=TRUE))</f>
        <v/>
      </c>
      <c r="Q469" s="16">
        <f>IF(A469="","",IFERROR(H469,0)+IFERROR(I469,0)+IFERROR(J469,0)+IFERROR(K469,0)+IFERROR(L469,0))</f>
        <v/>
      </c>
      <c r="R469" s="16">
        <f>IF(A469="","",IF(P469=TRUE,0,Q469))</f>
        <v/>
      </c>
      <c r="S469" s="16">
        <f>IF(A469="","",IF(P469=TRUE,0,IFERROR(H469,0)))</f>
        <v/>
      </c>
      <c r="T469" s="16">
        <f>IF(A469="","",IF(P469=TRUE,0,IFERROR(I469,0)))</f>
        <v/>
      </c>
      <c r="U469" s="16">
        <f>IF(A469="","",IF(P469=TRUE,0,IFERROR(J469,0)))</f>
        <v/>
      </c>
      <c r="V469" s="16">
        <f>IF(A469="","",IF(P469=TRUE,0,IFERROR(K469,0)))</f>
        <v/>
      </c>
      <c r="W469" s="16">
        <f>IF(A469="","",IF(P469=TRUE,0,IFERROR(L469,0)))</f>
        <v/>
      </c>
      <c r="X469" s="16">
        <f>IF(A469="","",IF(P469=TRUE,0,IFERROR(H469,0)+IFERROR(I469,0)+IFERROR(L469,0)))</f>
        <v/>
      </c>
      <c r="Y469" s="16">
        <f>IF(A469="",0,IF(G469=TRUE,IFERROR(H469,0)+IFERROR(I469,0)+IFERROR(J469,0)+IFERROR(K469,0)+IFERROR(L469,0),0))</f>
        <v/>
      </c>
      <c r="Z469" s="16">
        <f>IF(A469="",0,IF(AND(O469=TRUE,G469&lt;&gt;TRUE),IFERROR(H469,0)+IFERROR(I469,0)+IFERROR(J469,0)+IFERROR(K469,0)+IFERROR(L469,0),0))</f>
        <v/>
      </c>
    </row>
    <row r="470">
      <c r="A470" s="10" t="n"/>
      <c r="B470" s="10" t="n"/>
      <c r="C470" s="11" t="n"/>
      <c r="D470" s="11" t="n"/>
      <c r="E470" s="10" t="n"/>
      <c r="F470" s="10" t="n"/>
      <c r="G470" s="12" t="n"/>
      <c r="H470" s="13" t="n"/>
      <c r="I470" s="13" t="n"/>
      <c r="J470" s="13" t="n"/>
      <c r="K470" s="13" t="n"/>
      <c r="L470" s="13" t="n"/>
      <c r="M470" s="14">
        <f>IFERROR(IF(A470="","",IFERROR(VLOOKUP(A470,Raw_PriorMonth!A:E,5,FALSE),0)),0)</f>
        <v/>
      </c>
      <c r="N470" s="14">
        <f>IF(A470="","",IFERROR(E470,0)+IFERROR(M470,0))</f>
        <v/>
      </c>
      <c r="O470" s="15">
        <f>IF(A470="","",IF(N470&gt;=28,TRUE,FALSE))</f>
        <v/>
      </c>
      <c r="P470" s="15">
        <f>IF(A470="","",OR(G470=TRUE,O470=TRUE))</f>
        <v/>
      </c>
      <c r="Q470" s="16">
        <f>IF(A470="","",IFERROR(H470,0)+IFERROR(I470,0)+IFERROR(J470,0)+IFERROR(K470,0)+IFERROR(L470,0))</f>
        <v/>
      </c>
      <c r="R470" s="16">
        <f>IF(A470="","",IF(P470=TRUE,0,Q470))</f>
        <v/>
      </c>
      <c r="S470" s="16">
        <f>IF(A470="","",IF(P470=TRUE,0,IFERROR(H470,0)))</f>
        <v/>
      </c>
      <c r="T470" s="16">
        <f>IF(A470="","",IF(P470=TRUE,0,IFERROR(I470,0)))</f>
        <v/>
      </c>
      <c r="U470" s="16">
        <f>IF(A470="","",IF(P470=TRUE,0,IFERROR(J470,0)))</f>
        <v/>
      </c>
      <c r="V470" s="16">
        <f>IF(A470="","",IF(P470=TRUE,0,IFERROR(K470,0)))</f>
        <v/>
      </c>
      <c r="W470" s="16">
        <f>IF(A470="","",IF(P470=TRUE,0,IFERROR(L470,0)))</f>
        <v/>
      </c>
      <c r="X470" s="16">
        <f>IF(A470="","",IF(P470=TRUE,0,IFERROR(H470,0)+IFERROR(I470,0)+IFERROR(L470,0)))</f>
        <v/>
      </c>
      <c r="Y470" s="16">
        <f>IF(A470="",0,IF(G470=TRUE,IFERROR(H470,0)+IFERROR(I470,0)+IFERROR(J470,0)+IFERROR(K470,0)+IFERROR(L470,0),0))</f>
        <v/>
      </c>
      <c r="Z470" s="16">
        <f>IF(A470="",0,IF(AND(O470=TRUE,G470&lt;&gt;TRUE),IFERROR(H470,0)+IFERROR(I470,0)+IFERROR(J470,0)+IFERROR(K470,0)+IFERROR(L470,0),0))</f>
        <v/>
      </c>
    </row>
    <row r="471">
      <c r="A471" s="10" t="n"/>
      <c r="B471" s="10" t="n"/>
      <c r="C471" s="11" t="n"/>
      <c r="D471" s="11" t="n"/>
      <c r="E471" s="10" t="n"/>
      <c r="F471" s="10" t="n"/>
      <c r="G471" s="12" t="n"/>
      <c r="H471" s="13" t="n"/>
      <c r="I471" s="13" t="n"/>
      <c r="J471" s="13" t="n"/>
      <c r="K471" s="13" t="n"/>
      <c r="L471" s="13" t="n"/>
      <c r="M471" s="14">
        <f>IFERROR(IF(A471="","",IFERROR(VLOOKUP(A471,Raw_PriorMonth!A:E,5,FALSE),0)),0)</f>
        <v/>
      </c>
      <c r="N471" s="14">
        <f>IF(A471="","",IFERROR(E471,0)+IFERROR(M471,0))</f>
        <v/>
      </c>
      <c r="O471" s="15">
        <f>IF(A471="","",IF(N471&gt;=28,TRUE,FALSE))</f>
        <v/>
      </c>
      <c r="P471" s="15">
        <f>IF(A471="","",OR(G471=TRUE,O471=TRUE))</f>
        <v/>
      </c>
      <c r="Q471" s="16">
        <f>IF(A471="","",IFERROR(H471,0)+IFERROR(I471,0)+IFERROR(J471,0)+IFERROR(K471,0)+IFERROR(L471,0))</f>
        <v/>
      </c>
      <c r="R471" s="16">
        <f>IF(A471="","",IF(P471=TRUE,0,Q471))</f>
        <v/>
      </c>
      <c r="S471" s="16">
        <f>IF(A471="","",IF(P471=TRUE,0,IFERROR(H471,0)))</f>
        <v/>
      </c>
      <c r="T471" s="16">
        <f>IF(A471="","",IF(P471=TRUE,0,IFERROR(I471,0)))</f>
        <v/>
      </c>
      <c r="U471" s="16">
        <f>IF(A471="","",IF(P471=TRUE,0,IFERROR(J471,0)))</f>
        <v/>
      </c>
      <c r="V471" s="16">
        <f>IF(A471="","",IF(P471=TRUE,0,IFERROR(K471,0)))</f>
        <v/>
      </c>
      <c r="W471" s="16">
        <f>IF(A471="","",IF(P471=TRUE,0,IFERROR(L471,0)))</f>
        <v/>
      </c>
      <c r="X471" s="16">
        <f>IF(A471="","",IF(P471=TRUE,0,IFERROR(H471,0)+IFERROR(I471,0)+IFERROR(L471,0)))</f>
        <v/>
      </c>
      <c r="Y471" s="16">
        <f>IF(A471="",0,IF(G471=TRUE,IFERROR(H471,0)+IFERROR(I471,0)+IFERROR(J471,0)+IFERROR(K471,0)+IFERROR(L471,0),0))</f>
        <v/>
      </c>
      <c r="Z471" s="16">
        <f>IF(A471="",0,IF(AND(O471=TRUE,G471&lt;&gt;TRUE),IFERROR(H471,0)+IFERROR(I471,0)+IFERROR(J471,0)+IFERROR(K471,0)+IFERROR(L471,0),0))</f>
        <v/>
      </c>
    </row>
    <row r="472">
      <c r="A472" s="10" t="n"/>
      <c r="B472" s="10" t="n"/>
      <c r="C472" s="11" t="n"/>
      <c r="D472" s="11" t="n"/>
      <c r="E472" s="10" t="n"/>
      <c r="F472" s="10" t="n"/>
      <c r="G472" s="12" t="n"/>
      <c r="H472" s="13" t="n"/>
      <c r="I472" s="13" t="n"/>
      <c r="J472" s="13" t="n"/>
      <c r="K472" s="13" t="n"/>
      <c r="L472" s="13" t="n"/>
      <c r="M472" s="14">
        <f>IFERROR(IF(A472="","",IFERROR(VLOOKUP(A472,Raw_PriorMonth!A:E,5,FALSE),0)),0)</f>
        <v/>
      </c>
      <c r="N472" s="14">
        <f>IF(A472="","",IFERROR(E472,0)+IFERROR(M472,0))</f>
        <v/>
      </c>
      <c r="O472" s="15">
        <f>IF(A472="","",IF(N472&gt;=28,TRUE,FALSE))</f>
        <v/>
      </c>
      <c r="P472" s="15">
        <f>IF(A472="","",OR(G472=TRUE,O472=TRUE))</f>
        <v/>
      </c>
      <c r="Q472" s="16">
        <f>IF(A472="","",IFERROR(H472,0)+IFERROR(I472,0)+IFERROR(J472,0)+IFERROR(K472,0)+IFERROR(L472,0))</f>
        <v/>
      </c>
      <c r="R472" s="16">
        <f>IF(A472="","",IF(P472=TRUE,0,Q472))</f>
        <v/>
      </c>
      <c r="S472" s="16">
        <f>IF(A472="","",IF(P472=TRUE,0,IFERROR(H472,0)))</f>
        <v/>
      </c>
      <c r="T472" s="16">
        <f>IF(A472="","",IF(P472=TRUE,0,IFERROR(I472,0)))</f>
        <v/>
      </c>
      <c r="U472" s="16">
        <f>IF(A472="","",IF(P472=TRUE,0,IFERROR(J472,0)))</f>
        <v/>
      </c>
      <c r="V472" s="16">
        <f>IF(A472="","",IF(P472=TRUE,0,IFERROR(K472,0)))</f>
        <v/>
      </c>
      <c r="W472" s="16">
        <f>IF(A472="","",IF(P472=TRUE,0,IFERROR(L472,0)))</f>
        <v/>
      </c>
      <c r="X472" s="16">
        <f>IF(A472="","",IF(P472=TRUE,0,IFERROR(H472,0)+IFERROR(I472,0)+IFERROR(L472,0)))</f>
        <v/>
      </c>
      <c r="Y472" s="16">
        <f>IF(A472="",0,IF(G472=TRUE,IFERROR(H472,0)+IFERROR(I472,0)+IFERROR(J472,0)+IFERROR(K472,0)+IFERROR(L472,0),0))</f>
        <v/>
      </c>
      <c r="Z472" s="16">
        <f>IF(A472="",0,IF(AND(O472=TRUE,G472&lt;&gt;TRUE),IFERROR(H472,0)+IFERROR(I472,0)+IFERROR(J472,0)+IFERROR(K472,0)+IFERROR(L472,0),0))</f>
        <v/>
      </c>
    </row>
    <row r="473">
      <c r="A473" s="10" t="n"/>
      <c r="B473" s="10" t="n"/>
      <c r="C473" s="11" t="n"/>
      <c r="D473" s="11" t="n"/>
      <c r="E473" s="10" t="n"/>
      <c r="F473" s="10" t="n"/>
      <c r="G473" s="12" t="n"/>
      <c r="H473" s="13" t="n"/>
      <c r="I473" s="13" t="n"/>
      <c r="J473" s="13" t="n"/>
      <c r="K473" s="13" t="n"/>
      <c r="L473" s="13" t="n"/>
      <c r="M473" s="14">
        <f>IFERROR(IF(A473="","",IFERROR(VLOOKUP(A473,Raw_PriorMonth!A:E,5,FALSE),0)),0)</f>
        <v/>
      </c>
      <c r="N473" s="14">
        <f>IF(A473="","",IFERROR(E473,0)+IFERROR(M473,0))</f>
        <v/>
      </c>
      <c r="O473" s="15">
        <f>IF(A473="","",IF(N473&gt;=28,TRUE,FALSE))</f>
        <v/>
      </c>
      <c r="P473" s="15">
        <f>IF(A473="","",OR(G473=TRUE,O473=TRUE))</f>
        <v/>
      </c>
      <c r="Q473" s="16">
        <f>IF(A473="","",IFERROR(H473,0)+IFERROR(I473,0)+IFERROR(J473,0)+IFERROR(K473,0)+IFERROR(L473,0))</f>
        <v/>
      </c>
      <c r="R473" s="16">
        <f>IF(A473="","",IF(P473=TRUE,0,Q473))</f>
        <v/>
      </c>
      <c r="S473" s="16">
        <f>IF(A473="","",IF(P473=TRUE,0,IFERROR(H473,0)))</f>
        <v/>
      </c>
      <c r="T473" s="16">
        <f>IF(A473="","",IF(P473=TRUE,0,IFERROR(I473,0)))</f>
        <v/>
      </c>
      <c r="U473" s="16">
        <f>IF(A473="","",IF(P473=TRUE,0,IFERROR(J473,0)))</f>
        <v/>
      </c>
      <c r="V473" s="16">
        <f>IF(A473="","",IF(P473=TRUE,0,IFERROR(K473,0)))</f>
        <v/>
      </c>
      <c r="W473" s="16">
        <f>IF(A473="","",IF(P473=TRUE,0,IFERROR(L473,0)))</f>
        <v/>
      </c>
      <c r="X473" s="16">
        <f>IF(A473="","",IF(P473=TRUE,0,IFERROR(H473,0)+IFERROR(I473,0)+IFERROR(L473,0)))</f>
        <v/>
      </c>
      <c r="Y473" s="16">
        <f>IF(A473="",0,IF(G473=TRUE,IFERROR(H473,0)+IFERROR(I473,0)+IFERROR(J473,0)+IFERROR(K473,0)+IFERROR(L473,0),0))</f>
        <v/>
      </c>
      <c r="Z473" s="16">
        <f>IF(A473="",0,IF(AND(O473=TRUE,G473&lt;&gt;TRUE),IFERROR(H473,0)+IFERROR(I473,0)+IFERROR(J473,0)+IFERROR(K473,0)+IFERROR(L473,0),0))</f>
        <v/>
      </c>
    </row>
    <row r="474">
      <c r="A474" s="10" t="n"/>
      <c r="B474" s="10" t="n"/>
      <c r="C474" s="11" t="n"/>
      <c r="D474" s="11" t="n"/>
      <c r="E474" s="10" t="n"/>
      <c r="F474" s="10" t="n"/>
      <c r="G474" s="12" t="n"/>
      <c r="H474" s="13" t="n"/>
      <c r="I474" s="13" t="n"/>
      <c r="J474" s="13" t="n"/>
      <c r="K474" s="13" t="n"/>
      <c r="L474" s="13" t="n"/>
      <c r="M474" s="14">
        <f>IFERROR(IF(A474="","",IFERROR(VLOOKUP(A474,Raw_PriorMonth!A:E,5,FALSE),0)),0)</f>
        <v/>
      </c>
      <c r="N474" s="14">
        <f>IF(A474="","",IFERROR(E474,0)+IFERROR(M474,0))</f>
        <v/>
      </c>
      <c r="O474" s="15">
        <f>IF(A474="","",IF(N474&gt;=28,TRUE,FALSE))</f>
        <v/>
      </c>
      <c r="P474" s="15">
        <f>IF(A474="","",OR(G474=TRUE,O474=TRUE))</f>
        <v/>
      </c>
      <c r="Q474" s="16">
        <f>IF(A474="","",IFERROR(H474,0)+IFERROR(I474,0)+IFERROR(J474,0)+IFERROR(K474,0)+IFERROR(L474,0))</f>
        <v/>
      </c>
      <c r="R474" s="16">
        <f>IF(A474="","",IF(P474=TRUE,0,Q474))</f>
        <v/>
      </c>
      <c r="S474" s="16">
        <f>IF(A474="","",IF(P474=TRUE,0,IFERROR(H474,0)))</f>
        <v/>
      </c>
      <c r="T474" s="16">
        <f>IF(A474="","",IF(P474=TRUE,0,IFERROR(I474,0)))</f>
        <v/>
      </c>
      <c r="U474" s="16">
        <f>IF(A474="","",IF(P474=TRUE,0,IFERROR(J474,0)))</f>
        <v/>
      </c>
      <c r="V474" s="16">
        <f>IF(A474="","",IF(P474=TRUE,0,IFERROR(K474,0)))</f>
        <v/>
      </c>
      <c r="W474" s="16">
        <f>IF(A474="","",IF(P474=TRUE,0,IFERROR(L474,0)))</f>
        <v/>
      </c>
      <c r="X474" s="16">
        <f>IF(A474="","",IF(P474=TRUE,0,IFERROR(H474,0)+IFERROR(I474,0)+IFERROR(L474,0)))</f>
        <v/>
      </c>
      <c r="Y474" s="16">
        <f>IF(A474="",0,IF(G474=TRUE,IFERROR(H474,0)+IFERROR(I474,0)+IFERROR(J474,0)+IFERROR(K474,0)+IFERROR(L474,0),0))</f>
        <v/>
      </c>
      <c r="Z474" s="16">
        <f>IF(A474="",0,IF(AND(O474=TRUE,G474&lt;&gt;TRUE),IFERROR(H474,0)+IFERROR(I474,0)+IFERROR(J474,0)+IFERROR(K474,0)+IFERROR(L474,0),0))</f>
        <v/>
      </c>
    </row>
    <row r="475">
      <c r="A475" s="10" t="n"/>
      <c r="B475" s="10" t="n"/>
      <c r="C475" s="11" t="n"/>
      <c r="D475" s="11" t="n"/>
      <c r="E475" s="10" t="n"/>
      <c r="F475" s="10" t="n"/>
      <c r="G475" s="12" t="n"/>
      <c r="H475" s="13" t="n"/>
      <c r="I475" s="13" t="n"/>
      <c r="J475" s="13" t="n"/>
      <c r="K475" s="13" t="n"/>
      <c r="L475" s="13" t="n"/>
      <c r="M475" s="14">
        <f>IFERROR(IF(A475="","",IFERROR(VLOOKUP(A475,Raw_PriorMonth!A:E,5,FALSE),0)),0)</f>
        <v/>
      </c>
      <c r="N475" s="14">
        <f>IF(A475="","",IFERROR(E475,0)+IFERROR(M475,0))</f>
        <v/>
      </c>
      <c r="O475" s="15">
        <f>IF(A475="","",IF(N475&gt;=28,TRUE,FALSE))</f>
        <v/>
      </c>
      <c r="P475" s="15">
        <f>IF(A475="","",OR(G475=TRUE,O475=TRUE))</f>
        <v/>
      </c>
      <c r="Q475" s="16">
        <f>IF(A475="","",IFERROR(H475,0)+IFERROR(I475,0)+IFERROR(J475,0)+IFERROR(K475,0)+IFERROR(L475,0))</f>
        <v/>
      </c>
      <c r="R475" s="16">
        <f>IF(A475="","",IF(P475=TRUE,0,Q475))</f>
        <v/>
      </c>
      <c r="S475" s="16">
        <f>IF(A475="","",IF(P475=TRUE,0,IFERROR(H475,0)))</f>
        <v/>
      </c>
      <c r="T475" s="16">
        <f>IF(A475="","",IF(P475=TRUE,0,IFERROR(I475,0)))</f>
        <v/>
      </c>
      <c r="U475" s="16">
        <f>IF(A475="","",IF(P475=TRUE,0,IFERROR(J475,0)))</f>
        <v/>
      </c>
      <c r="V475" s="16">
        <f>IF(A475="","",IF(P475=TRUE,0,IFERROR(K475,0)))</f>
        <v/>
      </c>
      <c r="W475" s="16">
        <f>IF(A475="","",IF(P475=TRUE,0,IFERROR(L475,0)))</f>
        <v/>
      </c>
      <c r="X475" s="16">
        <f>IF(A475="","",IF(P475=TRUE,0,IFERROR(H475,0)+IFERROR(I475,0)+IFERROR(L475,0)))</f>
        <v/>
      </c>
      <c r="Y475" s="16">
        <f>IF(A475="",0,IF(G475=TRUE,IFERROR(H475,0)+IFERROR(I475,0)+IFERROR(J475,0)+IFERROR(K475,0)+IFERROR(L475,0),0))</f>
        <v/>
      </c>
      <c r="Z475" s="16">
        <f>IF(A475="",0,IF(AND(O475=TRUE,G475&lt;&gt;TRUE),IFERROR(H475,0)+IFERROR(I475,0)+IFERROR(J475,0)+IFERROR(K475,0)+IFERROR(L475,0),0))</f>
        <v/>
      </c>
    </row>
    <row r="476">
      <c r="A476" s="10" t="n"/>
      <c r="B476" s="10" t="n"/>
      <c r="C476" s="11" t="n"/>
      <c r="D476" s="11" t="n"/>
      <c r="E476" s="10" t="n"/>
      <c r="F476" s="10" t="n"/>
      <c r="G476" s="12" t="n"/>
      <c r="H476" s="13" t="n"/>
      <c r="I476" s="13" t="n"/>
      <c r="J476" s="13" t="n"/>
      <c r="K476" s="13" t="n"/>
      <c r="L476" s="13" t="n"/>
      <c r="M476" s="14">
        <f>IFERROR(IF(A476="","",IFERROR(VLOOKUP(A476,Raw_PriorMonth!A:E,5,FALSE),0)),0)</f>
        <v/>
      </c>
      <c r="N476" s="14">
        <f>IF(A476="","",IFERROR(E476,0)+IFERROR(M476,0))</f>
        <v/>
      </c>
      <c r="O476" s="15">
        <f>IF(A476="","",IF(N476&gt;=28,TRUE,FALSE))</f>
        <v/>
      </c>
      <c r="P476" s="15">
        <f>IF(A476="","",OR(G476=TRUE,O476=TRUE))</f>
        <v/>
      </c>
      <c r="Q476" s="16">
        <f>IF(A476="","",IFERROR(H476,0)+IFERROR(I476,0)+IFERROR(J476,0)+IFERROR(K476,0)+IFERROR(L476,0))</f>
        <v/>
      </c>
      <c r="R476" s="16">
        <f>IF(A476="","",IF(P476=TRUE,0,Q476))</f>
        <v/>
      </c>
      <c r="S476" s="16">
        <f>IF(A476="","",IF(P476=TRUE,0,IFERROR(H476,0)))</f>
        <v/>
      </c>
      <c r="T476" s="16">
        <f>IF(A476="","",IF(P476=TRUE,0,IFERROR(I476,0)))</f>
        <v/>
      </c>
      <c r="U476" s="16">
        <f>IF(A476="","",IF(P476=TRUE,0,IFERROR(J476,0)))</f>
        <v/>
      </c>
      <c r="V476" s="16">
        <f>IF(A476="","",IF(P476=TRUE,0,IFERROR(K476,0)))</f>
        <v/>
      </c>
      <c r="W476" s="16">
        <f>IF(A476="","",IF(P476=TRUE,0,IFERROR(L476,0)))</f>
        <v/>
      </c>
      <c r="X476" s="16">
        <f>IF(A476="","",IF(P476=TRUE,0,IFERROR(H476,0)+IFERROR(I476,0)+IFERROR(L476,0)))</f>
        <v/>
      </c>
      <c r="Y476" s="16">
        <f>IF(A476="",0,IF(G476=TRUE,IFERROR(H476,0)+IFERROR(I476,0)+IFERROR(J476,0)+IFERROR(K476,0)+IFERROR(L476,0),0))</f>
        <v/>
      </c>
      <c r="Z476" s="16">
        <f>IF(A476="",0,IF(AND(O476=TRUE,G476&lt;&gt;TRUE),IFERROR(H476,0)+IFERROR(I476,0)+IFERROR(J476,0)+IFERROR(K476,0)+IFERROR(L476,0),0))</f>
        <v/>
      </c>
    </row>
    <row r="477">
      <c r="A477" s="10" t="n"/>
      <c r="B477" s="10" t="n"/>
      <c r="C477" s="11" t="n"/>
      <c r="D477" s="11" t="n"/>
      <c r="E477" s="10" t="n"/>
      <c r="F477" s="10" t="n"/>
      <c r="G477" s="12" t="n"/>
      <c r="H477" s="13" t="n"/>
      <c r="I477" s="13" t="n"/>
      <c r="J477" s="13" t="n"/>
      <c r="K477" s="13" t="n"/>
      <c r="L477" s="13" t="n"/>
      <c r="M477" s="14">
        <f>IFERROR(IF(A477="","",IFERROR(VLOOKUP(A477,Raw_PriorMonth!A:E,5,FALSE),0)),0)</f>
        <v/>
      </c>
      <c r="N477" s="14">
        <f>IF(A477="","",IFERROR(E477,0)+IFERROR(M477,0))</f>
        <v/>
      </c>
      <c r="O477" s="15">
        <f>IF(A477="","",IF(N477&gt;=28,TRUE,FALSE))</f>
        <v/>
      </c>
      <c r="P477" s="15">
        <f>IF(A477="","",OR(G477=TRUE,O477=TRUE))</f>
        <v/>
      </c>
      <c r="Q477" s="16">
        <f>IF(A477="","",IFERROR(H477,0)+IFERROR(I477,0)+IFERROR(J477,0)+IFERROR(K477,0)+IFERROR(L477,0))</f>
        <v/>
      </c>
      <c r="R477" s="16">
        <f>IF(A477="","",IF(P477=TRUE,0,Q477))</f>
        <v/>
      </c>
      <c r="S477" s="16">
        <f>IF(A477="","",IF(P477=TRUE,0,IFERROR(H477,0)))</f>
        <v/>
      </c>
      <c r="T477" s="16">
        <f>IF(A477="","",IF(P477=TRUE,0,IFERROR(I477,0)))</f>
        <v/>
      </c>
      <c r="U477" s="16">
        <f>IF(A477="","",IF(P477=TRUE,0,IFERROR(J477,0)))</f>
        <v/>
      </c>
      <c r="V477" s="16">
        <f>IF(A477="","",IF(P477=TRUE,0,IFERROR(K477,0)))</f>
        <v/>
      </c>
      <c r="W477" s="16">
        <f>IF(A477="","",IF(P477=TRUE,0,IFERROR(L477,0)))</f>
        <v/>
      </c>
      <c r="X477" s="16">
        <f>IF(A477="","",IF(P477=TRUE,0,IFERROR(H477,0)+IFERROR(I477,0)+IFERROR(L477,0)))</f>
        <v/>
      </c>
      <c r="Y477" s="16">
        <f>IF(A477="",0,IF(G477=TRUE,IFERROR(H477,0)+IFERROR(I477,0)+IFERROR(J477,0)+IFERROR(K477,0)+IFERROR(L477,0),0))</f>
        <v/>
      </c>
      <c r="Z477" s="16">
        <f>IF(A477="",0,IF(AND(O477=TRUE,G477&lt;&gt;TRUE),IFERROR(H477,0)+IFERROR(I477,0)+IFERROR(J477,0)+IFERROR(K477,0)+IFERROR(L477,0),0))</f>
        <v/>
      </c>
    </row>
    <row r="478">
      <c r="A478" s="10" t="n"/>
      <c r="B478" s="10" t="n"/>
      <c r="C478" s="11" t="n"/>
      <c r="D478" s="11" t="n"/>
      <c r="E478" s="10" t="n"/>
      <c r="F478" s="10" t="n"/>
      <c r="G478" s="12" t="n"/>
      <c r="H478" s="13" t="n"/>
      <c r="I478" s="13" t="n"/>
      <c r="J478" s="13" t="n"/>
      <c r="K478" s="13" t="n"/>
      <c r="L478" s="13" t="n"/>
      <c r="M478" s="14">
        <f>IFERROR(IF(A478="","",IFERROR(VLOOKUP(A478,Raw_PriorMonth!A:E,5,FALSE),0)),0)</f>
        <v/>
      </c>
      <c r="N478" s="14">
        <f>IF(A478="","",IFERROR(E478,0)+IFERROR(M478,0))</f>
        <v/>
      </c>
      <c r="O478" s="15">
        <f>IF(A478="","",IF(N478&gt;=28,TRUE,FALSE))</f>
        <v/>
      </c>
      <c r="P478" s="15">
        <f>IF(A478="","",OR(G478=TRUE,O478=TRUE))</f>
        <v/>
      </c>
      <c r="Q478" s="16">
        <f>IF(A478="","",IFERROR(H478,0)+IFERROR(I478,0)+IFERROR(J478,0)+IFERROR(K478,0)+IFERROR(L478,0))</f>
        <v/>
      </c>
      <c r="R478" s="16">
        <f>IF(A478="","",IF(P478=TRUE,0,Q478))</f>
        <v/>
      </c>
      <c r="S478" s="16">
        <f>IF(A478="","",IF(P478=TRUE,0,IFERROR(H478,0)))</f>
        <v/>
      </c>
      <c r="T478" s="16">
        <f>IF(A478="","",IF(P478=TRUE,0,IFERROR(I478,0)))</f>
        <v/>
      </c>
      <c r="U478" s="16">
        <f>IF(A478="","",IF(P478=TRUE,0,IFERROR(J478,0)))</f>
        <v/>
      </c>
      <c r="V478" s="16">
        <f>IF(A478="","",IF(P478=TRUE,0,IFERROR(K478,0)))</f>
        <v/>
      </c>
      <c r="W478" s="16">
        <f>IF(A478="","",IF(P478=TRUE,0,IFERROR(L478,0)))</f>
        <v/>
      </c>
      <c r="X478" s="16">
        <f>IF(A478="","",IF(P478=TRUE,0,IFERROR(H478,0)+IFERROR(I478,0)+IFERROR(L478,0)))</f>
        <v/>
      </c>
      <c r="Y478" s="16">
        <f>IF(A478="",0,IF(G478=TRUE,IFERROR(H478,0)+IFERROR(I478,0)+IFERROR(J478,0)+IFERROR(K478,0)+IFERROR(L478,0),0))</f>
        <v/>
      </c>
      <c r="Z478" s="16">
        <f>IF(A478="",0,IF(AND(O478=TRUE,G478&lt;&gt;TRUE),IFERROR(H478,0)+IFERROR(I478,0)+IFERROR(J478,0)+IFERROR(K478,0)+IFERROR(L478,0),0))</f>
        <v/>
      </c>
    </row>
    <row r="479">
      <c r="A479" s="10" t="n"/>
      <c r="B479" s="10" t="n"/>
      <c r="C479" s="11" t="n"/>
      <c r="D479" s="11" t="n"/>
      <c r="E479" s="10" t="n"/>
      <c r="F479" s="10" t="n"/>
      <c r="G479" s="12" t="n"/>
      <c r="H479" s="13" t="n"/>
      <c r="I479" s="13" t="n"/>
      <c r="J479" s="13" t="n"/>
      <c r="K479" s="13" t="n"/>
      <c r="L479" s="13" t="n"/>
      <c r="M479" s="14">
        <f>IFERROR(IF(A479="","",IFERROR(VLOOKUP(A479,Raw_PriorMonth!A:E,5,FALSE),0)),0)</f>
        <v/>
      </c>
      <c r="N479" s="14">
        <f>IF(A479="","",IFERROR(E479,0)+IFERROR(M479,0))</f>
        <v/>
      </c>
      <c r="O479" s="15">
        <f>IF(A479="","",IF(N479&gt;=28,TRUE,FALSE))</f>
        <v/>
      </c>
      <c r="P479" s="15">
        <f>IF(A479="","",OR(G479=TRUE,O479=TRUE))</f>
        <v/>
      </c>
      <c r="Q479" s="16">
        <f>IF(A479="","",IFERROR(H479,0)+IFERROR(I479,0)+IFERROR(J479,0)+IFERROR(K479,0)+IFERROR(L479,0))</f>
        <v/>
      </c>
      <c r="R479" s="16">
        <f>IF(A479="","",IF(P479=TRUE,0,Q479))</f>
        <v/>
      </c>
      <c r="S479" s="16">
        <f>IF(A479="","",IF(P479=TRUE,0,IFERROR(H479,0)))</f>
        <v/>
      </c>
      <c r="T479" s="16">
        <f>IF(A479="","",IF(P479=TRUE,0,IFERROR(I479,0)))</f>
        <v/>
      </c>
      <c r="U479" s="16">
        <f>IF(A479="","",IF(P479=TRUE,0,IFERROR(J479,0)))</f>
        <v/>
      </c>
      <c r="V479" s="16">
        <f>IF(A479="","",IF(P479=TRUE,0,IFERROR(K479,0)))</f>
        <v/>
      </c>
      <c r="W479" s="16">
        <f>IF(A479="","",IF(P479=TRUE,0,IFERROR(L479,0)))</f>
        <v/>
      </c>
      <c r="X479" s="16">
        <f>IF(A479="","",IF(P479=TRUE,0,IFERROR(H479,0)+IFERROR(I479,0)+IFERROR(L479,0)))</f>
        <v/>
      </c>
      <c r="Y479" s="16">
        <f>IF(A479="",0,IF(G479=TRUE,IFERROR(H479,0)+IFERROR(I479,0)+IFERROR(J479,0)+IFERROR(K479,0)+IFERROR(L479,0),0))</f>
        <v/>
      </c>
      <c r="Z479" s="16">
        <f>IF(A479="",0,IF(AND(O479=TRUE,G479&lt;&gt;TRUE),IFERROR(H479,0)+IFERROR(I479,0)+IFERROR(J479,0)+IFERROR(K479,0)+IFERROR(L479,0),0))</f>
        <v/>
      </c>
    </row>
    <row r="480">
      <c r="A480" s="10" t="n"/>
      <c r="B480" s="10" t="n"/>
      <c r="C480" s="11" t="n"/>
      <c r="D480" s="11" t="n"/>
      <c r="E480" s="10" t="n"/>
      <c r="F480" s="10" t="n"/>
      <c r="G480" s="12" t="n"/>
      <c r="H480" s="13" t="n"/>
      <c r="I480" s="13" t="n"/>
      <c r="J480" s="13" t="n"/>
      <c r="K480" s="13" t="n"/>
      <c r="L480" s="13" t="n"/>
      <c r="M480" s="14">
        <f>IFERROR(IF(A480="","",IFERROR(VLOOKUP(A480,Raw_PriorMonth!A:E,5,FALSE),0)),0)</f>
        <v/>
      </c>
      <c r="N480" s="14">
        <f>IF(A480="","",IFERROR(E480,0)+IFERROR(M480,0))</f>
        <v/>
      </c>
      <c r="O480" s="15">
        <f>IF(A480="","",IF(N480&gt;=28,TRUE,FALSE))</f>
        <v/>
      </c>
      <c r="P480" s="15">
        <f>IF(A480="","",OR(G480=TRUE,O480=TRUE))</f>
        <v/>
      </c>
      <c r="Q480" s="16">
        <f>IF(A480="","",IFERROR(H480,0)+IFERROR(I480,0)+IFERROR(J480,0)+IFERROR(K480,0)+IFERROR(L480,0))</f>
        <v/>
      </c>
      <c r="R480" s="16">
        <f>IF(A480="","",IF(P480=TRUE,0,Q480))</f>
        <v/>
      </c>
      <c r="S480" s="16">
        <f>IF(A480="","",IF(P480=TRUE,0,IFERROR(H480,0)))</f>
        <v/>
      </c>
      <c r="T480" s="16">
        <f>IF(A480="","",IF(P480=TRUE,0,IFERROR(I480,0)))</f>
        <v/>
      </c>
      <c r="U480" s="16">
        <f>IF(A480="","",IF(P480=TRUE,0,IFERROR(J480,0)))</f>
        <v/>
      </c>
      <c r="V480" s="16">
        <f>IF(A480="","",IF(P480=TRUE,0,IFERROR(K480,0)))</f>
        <v/>
      </c>
      <c r="W480" s="16">
        <f>IF(A480="","",IF(P480=TRUE,0,IFERROR(L480,0)))</f>
        <v/>
      </c>
      <c r="X480" s="16">
        <f>IF(A480="","",IF(P480=TRUE,0,IFERROR(H480,0)+IFERROR(I480,0)+IFERROR(L480,0)))</f>
        <v/>
      </c>
      <c r="Y480" s="16">
        <f>IF(A480="",0,IF(G480=TRUE,IFERROR(H480,0)+IFERROR(I480,0)+IFERROR(J480,0)+IFERROR(K480,0)+IFERROR(L480,0),0))</f>
        <v/>
      </c>
      <c r="Z480" s="16">
        <f>IF(A480="",0,IF(AND(O480=TRUE,G480&lt;&gt;TRUE),IFERROR(H480,0)+IFERROR(I480,0)+IFERROR(J480,0)+IFERROR(K480,0)+IFERROR(L480,0),0))</f>
        <v/>
      </c>
    </row>
    <row r="481">
      <c r="A481" s="10" t="n"/>
      <c r="B481" s="10" t="n"/>
      <c r="C481" s="11" t="n"/>
      <c r="D481" s="11" t="n"/>
      <c r="E481" s="10" t="n"/>
      <c r="F481" s="10" t="n"/>
      <c r="G481" s="12" t="n"/>
      <c r="H481" s="13" t="n"/>
      <c r="I481" s="13" t="n"/>
      <c r="J481" s="13" t="n"/>
      <c r="K481" s="13" t="n"/>
      <c r="L481" s="13" t="n"/>
      <c r="M481" s="14">
        <f>IFERROR(IF(A481="","",IFERROR(VLOOKUP(A481,Raw_PriorMonth!A:E,5,FALSE),0)),0)</f>
        <v/>
      </c>
      <c r="N481" s="14">
        <f>IF(A481="","",IFERROR(E481,0)+IFERROR(M481,0))</f>
        <v/>
      </c>
      <c r="O481" s="15">
        <f>IF(A481="","",IF(N481&gt;=28,TRUE,FALSE))</f>
        <v/>
      </c>
      <c r="P481" s="15">
        <f>IF(A481="","",OR(G481=TRUE,O481=TRUE))</f>
        <v/>
      </c>
      <c r="Q481" s="16">
        <f>IF(A481="","",IFERROR(H481,0)+IFERROR(I481,0)+IFERROR(J481,0)+IFERROR(K481,0)+IFERROR(L481,0))</f>
        <v/>
      </c>
      <c r="R481" s="16">
        <f>IF(A481="","",IF(P481=TRUE,0,Q481))</f>
        <v/>
      </c>
      <c r="S481" s="16">
        <f>IF(A481="","",IF(P481=TRUE,0,IFERROR(H481,0)))</f>
        <v/>
      </c>
      <c r="T481" s="16">
        <f>IF(A481="","",IF(P481=TRUE,0,IFERROR(I481,0)))</f>
        <v/>
      </c>
      <c r="U481" s="16">
        <f>IF(A481="","",IF(P481=TRUE,0,IFERROR(J481,0)))</f>
        <v/>
      </c>
      <c r="V481" s="16">
        <f>IF(A481="","",IF(P481=TRUE,0,IFERROR(K481,0)))</f>
        <v/>
      </c>
      <c r="W481" s="16">
        <f>IF(A481="","",IF(P481=TRUE,0,IFERROR(L481,0)))</f>
        <v/>
      </c>
      <c r="X481" s="16">
        <f>IF(A481="","",IF(P481=TRUE,0,IFERROR(H481,0)+IFERROR(I481,0)+IFERROR(L481,0)))</f>
        <v/>
      </c>
      <c r="Y481" s="16">
        <f>IF(A481="",0,IF(G481=TRUE,IFERROR(H481,0)+IFERROR(I481,0)+IFERROR(J481,0)+IFERROR(K481,0)+IFERROR(L481,0),0))</f>
        <v/>
      </c>
      <c r="Z481" s="16">
        <f>IF(A481="",0,IF(AND(O481=TRUE,G481&lt;&gt;TRUE),IFERROR(H481,0)+IFERROR(I481,0)+IFERROR(J481,0)+IFERROR(K481,0)+IFERROR(L481,0),0))</f>
        <v/>
      </c>
    </row>
    <row r="482">
      <c r="A482" s="10" t="n"/>
      <c r="B482" s="10" t="n"/>
      <c r="C482" s="11" t="n"/>
      <c r="D482" s="11" t="n"/>
      <c r="E482" s="10" t="n"/>
      <c r="F482" s="10" t="n"/>
      <c r="G482" s="12" t="n"/>
      <c r="H482" s="13" t="n"/>
      <c r="I482" s="13" t="n"/>
      <c r="J482" s="13" t="n"/>
      <c r="K482" s="13" t="n"/>
      <c r="L482" s="13" t="n"/>
      <c r="M482" s="14">
        <f>IFERROR(IF(A482="","",IFERROR(VLOOKUP(A482,Raw_PriorMonth!A:E,5,FALSE),0)),0)</f>
        <v/>
      </c>
      <c r="N482" s="14">
        <f>IF(A482="","",IFERROR(E482,0)+IFERROR(M482,0))</f>
        <v/>
      </c>
      <c r="O482" s="15">
        <f>IF(A482="","",IF(N482&gt;=28,TRUE,FALSE))</f>
        <v/>
      </c>
      <c r="P482" s="15">
        <f>IF(A482="","",OR(G482=TRUE,O482=TRUE))</f>
        <v/>
      </c>
      <c r="Q482" s="16">
        <f>IF(A482="","",IFERROR(H482,0)+IFERROR(I482,0)+IFERROR(J482,0)+IFERROR(K482,0)+IFERROR(L482,0))</f>
        <v/>
      </c>
      <c r="R482" s="16">
        <f>IF(A482="","",IF(P482=TRUE,0,Q482))</f>
        <v/>
      </c>
      <c r="S482" s="16">
        <f>IF(A482="","",IF(P482=TRUE,0,IFERROR(H482,0)))</f>
        <v/>
      </c>
      <c r="T482" s="16">
        <f>IF(A482="","",IF(P482=TRUE,0,IFERROR(I482,0)))</f>
        <v/>
      </c>
      <c r="U482" s="16">
        <f>IF(A482="","",IF(P482=TRUE,0,IFERROR(J482,0)))</f>
        <v/>
      </c>
      <c r="V482" s="16">
        <f>IF(A482="","",IF(P482=TRUE,0,IFERROR(K482,0)))</f>
        <v/>
      </c>
      <c r="W482" s="16">
        <f>IF(A482="","",IF(P482=TRUE,0,IFERROR(L482,0)))</f>
        <v/>
      </c>
      <c r="X482" s="16">
        <f>IF(A482="","",IF(P482=TRUE,0,IFERROR(H482,0)+IFERROR(I482,0)+IFERROR(L482,0)))</f>
        <v/>
      </c>
      <c r="Y482" s="16">
        <f>IF(A482="",0,IF(G482=TRUE,IFERROR(H482,0)+IFERROR(I482,0)+IFERROR(J482,0)+IFERROR(K482,0)+IFERROR(L482,0),0))</f>
        <v/>
      </c>
      <c r="Z482" s="16">
        <f>IF(A482="",0,IF(AND(O482=TRUE,G482&lt;&gt;TRUE),IFERROR(H482,0)+IFERROR(I482,0)+IFERROR(J482,0)+IFERROR(K482,0)+IFERROR(L482,0),0))</f>
        <v/>
      </c>
    </row>
    <row r="483">
      <c r="A483" s="10" t="n"/>
      <c r="B483" s="10" t="n"/>
      <c r="C483" s="11" t="n"/>
      <c r="D483" s="11" t="n"/>
      <c r="E483" s="10" t="n"/>
      <c r="F483" s="10" t="n"/>
      <c r="G483" s="12" t="n"/>
      <c r="H483" s="13" t="n"/>
      <c r="I483" s="13" t="n"/>
      <c r="J483" s="13" t="n"/>
      <c r="K483" s="13" t="n"/>
      <c r="L483" s="13" t="n"/>
      <c r="M483" s="14">
        <f>IFERROR(IF(A483="","",IFERROR(VLOOKUP(A483,Raw_PriorMonth!A:E,5,FALSE),0)),0)</f>
        <v/>
      </c>
      <c r="N483" s="14">
        <f>IF(A483="","",IFERROR(E483,0)+IFERROR(M483,0))</f>
        <v/>
      </c>
      <c r="O483" s="15">
        <f>IF(A483="","",IF(N483&gt;=28,TRUE,FALSE))</f>
        <v/>
      </c>
      <c r="P483" s="15">
        <f>IF(A483="","",OR(G483=TRUE,O483=TRUE))</f>
        <v/>
      </c>
      <c r="Q483" s="16">
        <f>IF(A483="","",IFERROR(H483,0)+IFERROR(I483,0)+IFERROR(J483,0)+IFERROR(K483,0)+IFERROR(L483,0))</f>
        <v/>
      </c>
      <c r="R483" s="16">
        <f>IF(A483="","",IF(P483=TRUE,0,Q483))</f>
        <v/>
      </c>
      <c r="S483" s="16">
        <f>IF(A483="","",IF(P483=TRUE,0,IFERROR(H483,0)))</f>
        <v/>
      </c>
      <c r="T483" s="16">
        <f>IF(A483="","",IF(P483=TRUE,0,IFERROR(I483,0)))</f>
        <v/>
      </c>
      <c r="U483" s="16">
        <f>IF(A483="","",IF(P483=TRUE,0,IFERROR(J483,0)))</f>
        <v/>
      </c>
      <c r="V483" s="16">
        <f>IF(A483="","",IF(P483=TRUE,0,IFERROR(K483,0)))</f>
        <v/>
      </c>
      <c r="W483" s="16">
        <f>IF(A483="","",IF(P483=TRUE,0,IFERROR(L483,0)))</f>
        <v/>
      </c>
      <c r="X483" s="16">
        <f>IF(A483="","",IF(P483=TRUE,0,IFERROR(H483,0)+IFERROR(I483,0)+IFERROR(L483,0)))</f>
        <v/>
      </c>
      <c r="Y483" s="16">
        <f>IF(A483="",0,IF(G483=TRUE,IFERROR(H483,0)+IFERROR(I483,0)+IFERROR(J483,0)+IFERROR(K483,0)+IFERROR(L483,0),0))</f>
        <v/>
      </c>
      <c r="Z483" s="16">
        <f>IF(A483="",0,IF(AND(O483=TRUE,G483&lt;&gt;TRUE),IFERROR(H483,0)+IFERROR(I483,0)+IFERROR(J483,0)+IFERROR(K483,0)+IFERROR(L483,0),0))</f>
        <v/>
      </c>
    </row>
    <row r="484">
      <c r="A484" s="10" t="n"/>
      <c r="B484" s="10" t="n"/>
      <c r="C484" s="11" t="n"/>
      <c r="D484" s="11" t="n"/>
      <c r="E484" s="10" t="n"/>
      <c r="F484" s="10" t="n"/>
      <c r="G484" s="12" t="n"/>
      <c r="H484" s="13" t="n"/>
      <c r="I484" s="13" t="n"/>
      <c r="J484" s="13" t="n"/>
      <c r="K484" s="13" t="n"/>
      <c r="L484" s="13" t="n"/>
      <c r="M484" s="14">
        <f>IFERROR(IF(A484="","",IFERROR(VLOOKUP(A484,Raw_PriorMonth!A:E,5,FALSE),0)),0)</f>
        <v/>
      </c>
      <c r="N484" s="14">
        <f>IF(A484="","",IFERROR(E484,0)+IFERROR(M484,0))</f>
        <v/>
      </c>
      <c r="O484" s="15">
        <f>IF(A484="","",IF(N484&gt;=28,TRUE,FALSE))</f>
        <v/>
      </c>
      <c r="P484" s="15">
        <f>IF(A484="","",OR(G484=TRUE,O484=TRUE))</f>
        <v/>
      </c>
      <c r="Q484" s="16">
        <f>IF(A484="","",IFERROR(H484,0)+IFERROR(I484,0)+IFERROR(J484,0)+IFERROR(K484,0)+IFERROR(L484,0))</f>
        <v/>
      </c>
      <c r="R484" s="16">
        <f>IF(A484="","",IF(P484=TRUE,0,Q484))</f>
        <v/>
      </c>
      <c r="S484" s="16">
        <f>IF(A484="","",IF(P484=TRUE,0,IFERROR(H484,0)))</f>
        <v/>
      </c>
      <c r="T484" s="16">
        <f>IF(A484="","",IF(P484=TRUE,0,IFERROR(I484,0)))</f>
        <v/>
      </c>
      <c r="U484" s="16">
        <f>IF(A484="","",IF(P484=TRUE,0,IFERROR(J484,0)))</f>
        <v/>
      </c>
      <c r="V484" s="16">
        <f>IF(A484="","",IF(P484=TRUE,0,IFERROR(K484,0)))</f>
        <v/>
      </c>
      <c r="W484" s="16">
        <f>IF(A484="","",IF(P484=TRUE,0,IFERROR(L484,0)))</f>
        <v/>
      </c>
      <c r="X484" s="16">
        <f>IF(A484="","",IF(P484=TRUE,0,IFERROR(H484,0)+IFERROR(I484,0)+IFERROR(L484,0)))</f>
        <v/>
      </c>
      <c r="Y484" s="16">
        <f>IF(A484="",0,IF(G484=TRUE,IFERROR(H484,0)+IFERROR(I484,0)+IFERROR(J484,0)+IFERROR(K484,0)+IFERROR(L484,0),0))</f>
        <v/>
      </c>
      <c r="Z484" s="16">
        <f>IF(A484="",0,IF(AND(O484=TRUE,G484&lt;&gt;TRUE),IFERROR(H484,0)+IFERROR(I484,0)+IFERROR(J484,0)+IFERROR(K484,0)+IFERROR(L484,0),0))</f>
        <v/>
      </c>
    </row>
    <row r="485">
      <c r="A485" s="10" t="n"/>
      <c r="B485" s="10" t="n"/>
      <c r="C485" s="11" t="n"/>
      <c r="D485" s="11" t="n"/>
      <c r="E485" s="10" t="n"/>
      <c r="F485" s="10" t="n"/>
      <c r="G485" s="12" t="n"/>
      <c r="H485" s="13" t="n"/>
      <c r="I485" s="13" t="n"/>
      <c r="J485" s="13" t="n"/>
      <c r="K485" s="13" t="n"/>
      <c r="L485" s="13" t="n"/>
      <c r="M485" s="14">
        <f>IFERROR(IF(A485="","",IFERROR(VLOOKUP(A485,Raw_PriorMonth!A:E,5,FALSE),0)),0)</f>
        <v/>
      </c>
      <c r="N485" s="14">
        <f>IF(A485="","",IFERROR(E485,0)+IFERROR(M485,0))</f>
        <v/>
      </c>
      <c r="O485" s="15">
        <f>IF(A485="","",IF(N485&gt;=28,TRUE,FALSE))</f>
        <v/>
      </c>
      <c r="P485" s="15">
        <f>IF(A485="","",OR(G485=TRUE,O485=TRUE))</f>
        <v/>
      </c>
      <c r="Q485" s="16">
        <f>IF(A485="","",IFERROR(H485,0)+IFERROR(I485,0)+IFERROR(J485,0)+IFERROR(K485,0)+IFERROR(L485,0))</f>
        <v/>
      </c>
      <c r="R485" s="16">
        <f>IF(A485="","",IF(P485=TRUE,0,Q485))</f>
        <v/>
      </c>
      <c r="S485" s="16">
        <f>IF(A485="","",IF(P485=TRUE,0,IFERROR(H485,0)))</f>
        <v/>
      </c>
      <c r="T485" s="16">
        <f>IF(A485="","",IF(P485=TRUE,0,IFERROR(I485,0)))</f>
        <v/>
      </c>
      <c r="U485" s="16">
        <f>IF(A485="","",IF(P485=TRUE,0,IFERROR(J485,0)))</f>
        <v/>
      </c>
      <c r="V485" s="16">
        <f>IF(A485="","",IF(P485=TRUE,0,IFERROR(K485,0)))</f>
        <v/>
      </c>
      <c r="W485" s="16">
        <f>IF(A485="","",IF(P485=TRUE,0,IFERROR(L485,0)))</f>
        <v/>
      </c>
      <c r="X485" s="16">
        <f>IF(A485="","",IF(P485=TRUE,0,IFERROR(H485,0)+IFERROR(I485,0)+IFERROR(L485,0)))</f>
        <v/>
      </c>
      <c r="Y485" s="16">
        <f>IF(A485="",0,IF(G485=TRUE,IFERROR(H485,0)+IFERROR(I485,0)+IFERROR(J485,0)+IFERROR(K485,0)+IFERROR(L485,0),0))</f>
        <v/>
      </c>
      <c r="Z485" s="16">
        <f>IF(A485="",0,IF(AND(O485=TRUE,G485&lt;&gt;TRUE),IFERROR(H485,0)+IFERROR(I485,0)+IFERROR(J485,0)+IFERROR(K485,0)+IFERROR(L485,0),0))</f>
        <v/>
      </c>
    </row>
    <row r="486">
      <c r="A486" s="10" t="n"/>
      <c r="B486" s="10" t="n"/>
      <c r="C486" s="11" t="n"/>
      <c r="D486" s="11" t="n"/>
      <c r="E486" s="10" t="n"/>
      <c r="F486" s="10" t="n"/>
      <c r="G486" s="12" t="n"/>
      <c r="H486" s="13" t="n"/>
      <c r="I486" s="13" t="n"/>
      <c r="J486" s="13" t="n"/>
      <c r="K486" s="13" t="n"/>
      <c r="L486" s="13" t="n"/>
      <c r="M486" s="14">
        <f>IFERROR(IF(A486="","",IFERROR(VLOOKUP(A486,Raw_PriorMonth!A:E,5,FALSE),0)),0)</f>
        <v/>
      </c>
      <c r="N486" s="14">
        <f>IF(A486="","",IFERROR(E486,0)+IFERROR(M486,0))</f>
        <v/>
      </c>
      <c r="O486" s="15">
        <f>IF(A486="","",IF(N486&gt;=28,TRUE,FALSE))</f>
        <v/>
      </c>
      <c r="P486" s="15">
        <f>IF(A486="","",OR(G486=TRUE,O486=TRUE))</f>
        <v/>
      </c>
      <c r="Q486" s="16">
        <f>IF(A486="","",IFERROR(H486,0)+IFERROR(I486,0)+IFERROR(J486,0)+IFERROR(K486,0)+IFERROR(L486,0))</f>
        <v/>
      </c>
      <c r="R486" s="16">
        <f>IF(A486="","",IF(P486=TRUE,0,Q486))</f>
        <v/>
      </c>
      <c r="S486" s="16">
        <f>IF(A486="","",IF(P486=TRUE,0,IFERROR(H486,0)))</f>
        <v/>
      </c>
      <c r="T486" s="16">
        <f>IF(A486="","",IF(P486=TRUE,0,IFERROR(I486,0)))</f>
        <v/>
      </c>
      <c r="U486" s="16">
        <f>IF(A486="","",IF(P486=TRUE,0,IFERROR(J486,0)))</f>
        <v/>
      </c>
      <c r="V486" s="16">
        <f>IF(A486="","",IF(P486=TRUE,0,IFERROR(K486,0)))</f>
        <v/>
      </c>
      <c r="W486" s="16">
        <f>IF(A486="","",IF(P486=TRUE,0,IFERROR(L486,0)))</f>
        <v/>
      </c>
      <c r="X486" s="16">
        <f>IF(A486="","",IF(P486=TRUE,0,IFERROR(H486,0)+IFERROR(I486,0)+IFERROR(L486,0)))</f>
        <v/>
      </c>
      <c r="Y486" s="16">
        <f>IF(A486="",0,IF(G486=TRUE,IFERROR(H486,0)+IFERROR(I486,0)+IFERROR(J486,0)+IFERROR(K486,0)+IFERROR(L486,0),0))</f>
        <v/>
      </c>
      <c r="Z486" s="16">
        <f>IF(A486="",0,IF(AND(O486=TRUE,G486&lt;&gt;TRUE),IFERROR(H486,0)+IFERROR(I486,0)+IFERROR(J486,0)+IFERROR(K486,0)+IFERROR(L486,0),0))</f>
        <v/>
      </c>
    </row>
    <row r="487">
      <c r="A487" s="10" t="n"/>
      <c r="B487" s="10" t="n"/>
      <c r="C487" s="11" t="n"/>
      <c r="D487" s="11" t="n"/>
      <c r="E487" s="10" t="n"/>
      <c r="F487" s="10" t="n"/>
      <c r="G487" s="12" t="n"/>
      <c r="H487" s="13" t="n"/>
      <c r="I487" s="13" t="n"/>
      <c r="J487" s="13" t="n"/>
      <c r="K487" s="13" t="n"/>
      <c r="L487" s="13" t="n"/>
      <c r="M487" s="14">
        <f>IFERROR(IF(A487="","",IFERROR(VLOOKUP(A487,Raw_PriorMonth!A:E,5,FALSE),0)),0)</f>
        <v/>
      </c>
      <c r="N487" s="14">
        <f>IF(A487="","",IFERROR(E487,0)+IFERROR(M487,0))</f>
        <v/>
      </c>
      <c r="O487" s="15">
        <f>IF(A487="","",IF(N487&gt;=28,TRUE,FALSE))</f>
        <v/>
      </c>
      <c r="P487" s="15">
        <f>IF(A487="","",OR(G487=TRUE,O487=TRUE))</f>
        <v/>
      </c>
      <c r="Q487" s="16">
        <f>IF(A487="","",IFERROR(H487,0)+IFERROR(I487,0)+IFERROR(J487,0)+IFERROR(K487,0)+IFERROR(L487,0))</f>
        <v/>
      </c>
      <c r="R487" s="16">
        <f>IF(A487="","",IF(P487=TRUE,0,Q487))</f>
        <v/>
      </c>
      <c r="S487" s="16">
        <f>IF(A487="","",IF(P487=TRUE,0,IFERROR(H487,0)))</f>
        <v/>
      </c>
      <c r="T487" s="16">
        <f>IF(A487="","",IF(P487=TRUE,0,IFERROR(I487,0)))</f>
        <v/>
      </c>
      <c r="U487" s="16">
        <f>IF(A487="","",IF(P487=TRUE,0,IFERROR(J487,0)))</f>
        <v/>
      </c>
      <c r="V487" s="16">
        <f>IF(A487="","",IF(P487=TRUE,0,IFERROR(K487,0)))</f>
        <v/>
      </c>
      <c r="W487" s="16">
        <f>IF(A487="","",IF(P487=TRUE,0,IFERROR(L487,0)))</f>
        <v/>
      </c>
      <c r="X487" s="16">
        <f>IF(A487="","",IF(P487=TRUE,0,IFERROR(H487,0)+IFERROR(I487,0)+IFERROR(L487,0)))</f>
        <v/>
      </c>
      <c r="Y487" s="16">
        <f>IF(A487="",0,IF(G487=TRUE,IFERROR(H487,0)+IFERROR(I487,0)+IFERROR(J487,0)+IFERROR(K487,0)+IFERROR(L487,0),0))</f>
        <v/>
      </c>
      <c r="Z487" s="16">
        <f>IF(A487="",0,IF(AND(O487=TRUE,G487&lt;&gt;TRUE),IFERROR(H487,0)+IFERROR(I487,0)+IFERROR(J487,0)+IFERROR(K487,0)+IFERROR(L487,0),0))</f>
        <v/>
      </c>
    </row>
    <row r="488">
      <c r="A488" s="10" t="n"/>
      <c r="B488" s="10" t="n"/>
      <c r="C488" s="11" t="n"/>
      <c r="D488" s="11" t="n"/>
      <c r="E488" s="10" t="n"/>
      <c r="F488" s="10" t="n"/>
      <c r="G488" s="12" t="n"/>
      <c r="H488" s="13" t="n"/>
      <c r="I488" s="13" t="n"/>
      <c r="J488" s="13" t="n"/>
      <c r="K488" s="13" t="n"/>
      <c r="L488" s="13" t="n"/>
      <c r="M488" s="14">
        <f>IFERROR(IF(A488="","",IFERROR(VLOOKUP(A488,Raw_PriorMonth!A:E,5,FALSE),0)),0)</f>
        <v/>
      </c>
      <c r="N488" s="14">
        <f>IF(A488="","",IFERROR(E488,0)+IFERROR(M488,0))</f>
        <v/>
      </c>
      <c r="O488" s="15">
        <f>IF(A488="","",IF(N488&gt;=28,TRUE,FALSE))</f>
        <v/>
      </c>
      <c r="P488" s="15">
        <f>IF(A488="","",OR(G488=TRUE,O488=TRUE))</f>
        <v/>
      </c>
      <c r="Q488" s="16">
        <f>IF(A488="","",IFERROR(H488,0)+IFERROR(I488,0)+IFERROR(J488,0)+IFERROR(K488,0)+IFERROR(L488,0))</f>
        <v/>
      </c>
      <c r="R488" s="16">
        <f>IF(A488="","",IF(P488=TRUE,0,Q488))</f>
        <v/>
      </c>
      <c r="S488" s="16">
        <f>IF(A488="","",IF(P488=TRUE,0,IFERROR(H488,0)))</f>
        <v/>
      </c>
      <c r="T488" s="16">
        <f>IF(A488="","",IF(P488=TRUE,0,IFERROR(I488,0)))</f>
        <v/>
      </c>
      <c r="U488" s="16">
        <f>IF(A488="","",IF(P488=TRUE,0,IFERROR(J488,0)))</f>
        <v/>
      </c>
      <c r="V488" s="16">
        <f>IF(A488="","",IF(P488=TRUE,0,IFERROR(K488,0)))</f>
        <v/>
      </c>
      <c r="W488" s="16">
        <f>IF(A488="","",IF(P488=TRUE,0,IFERROR(L488,0)))</f>
        <v/>
      </c>
      <c r="X488" s="16">
        <f>IF(A488="","",IF(P488=TRUE,0,IFERROR(H488,0)+IFERROR(I488,0)+IFERROR(L488,0)))</f>
        <v/>
      </c>
      <c r="Y488" s="16">
        <f>IF(A488="",0,IF(G488=TRUE,IFERROR(H488,0)+IFERROR(I488,0)+IFERROR(J488,0)+IFERROR(K488,0)+IFERROR(L488,0),0))</f>
        <v/>
      </c>
      <c r="Z488" s="16">
        <f>IF(A488="",0,IF(AND(O488=TRUE,G488&lt;&gt;TRUE),IFERROR(H488,0)+IFERROR(I488,0)+IFERROR(J488,0)+IFERROR(K488,0)+IFERROR(L488,0),0))</f>
        <v/>
      </c>
    </row>
    <row r="489">
      <c r="A489" s="10" t="n"/>
      <c r="B489" s="10" t="n"/>
      <c r="C489" s="11" t="n"/>
      <c r="D489" s="11" t="n"/>
      <c r="E489" s="10" t="n"/>
      <c r="F489" s="10" t="n"/>
      <c r="G489" s="12" t="n"/>
      <c r="H489" s="13" t="n"/>
      <c r="I489" s="13" t="n"/>
      <c r="J489" s="13" t="n"/>
      <c r="K489" s="13" t="n"/>
      <c r="L489" s="13" t="n"/>
      <c r="M489" s="14">
        <f>IFERROR(IF(A489="","",IFERROR(VLOOKUP(A489,Raw_PriorMonth!A:E,5,FALSE),0)),0)</f>
        <v/>
      </c>
      <c r="N489" s="14">
        <f>IF(A489="","",IFERROR(E489,0)+IFERROR(M489,0))</f>
        <v/>
      </c>
      <c r="O489" s="15">
        <f>IF(A489="","",IF(N489&gt;=28,TRUE,FALSE))</f>
        <v/>
      </c>
      <c r="P489" s="15">
        <f>IF(A489="","",OR(G489=TRUE,O489=TRUE))</f>
        <v/>
      </c>
      <c r="Q489" s="16">
        <f>IF(A489="","",IFERROR(H489,0)+IFERROR(I489,0)+IFERROR(J489,0)+IFERROR(K489,0)+IFERROR(L489,0))</f>
        <v/>
      </c>
      <c r="R489" s="16">
        <f>IF(A489="","",IF(P489=TRUE,0,Q489))</f>
        <v/>
      </c>
      <c r="S489" s="16">
        <f>IF(A489="","",IF(P489=TRUE,0,IFERROR(H489,0)))</f>
        <v/>
      </c>
      <c r="T489" s="16">
        <f>IF(A489="","",IF(P489=TRUE,0,IFERROR(I489,0)))</f>
        <v/>
      </c>
      <c r="U489" s="16">
        <f>IF(A489="","",IF(P489=TRUE,0,IFERROR(J489,0)))</f>
        <v/>
      </c>
      <c r="V489" s="16">
        <f>IF(A489="","",IF(P489=TRUE,0,IFERROR(K489,0)))</f>
        <v/>
      </c>
      <c r="W489" s="16">
        <f>IF(A489="","",IF(P489=TRUE,0,IFERROR(L489,0)))</f>
        <v/>
      </c>
      <c r="X489" s="16">
        <f>IF(A489="","",IF(P489=TRUE,0,IFERROR(H489,0)+IFERROR(I489,0)+IFERROR(L489,0)))</f>
        <v/>
      </c>
      <c r="Y489" s="16">
        <f>IF(A489="",0,IF(G489=TRUE,IFERROR(H489,0)+IFERROR(I489,0)+IFERROR(J489,0)+IFERROR(K489,0)+IFERROR(L489,0),0))</f>
        <v/>
      </c>
      <c r="Z489" s="16">
        <f>IF(A489="",0,IF(AND(O489=TRUE,G489&lt;&gt;TRUE),IFERROR(H489,0)+IFERROR(I489,0)+IFERROR(J489,0)+IFERROR(K489,0)+IFERROR(L489,0),0))</f>
        <v/>
      </c>
    </row>
    <row r="490">
      <c r="A490" s="10" t="n"/>
      <c r="B490" s="10" t="n"/>
      <c r="C490" s="11" t="n"/>
      <c r="D490" s="11" t="n"/>
      <c r="E490" s="10" t="n"/>
      <c r="F490" s="10" t="n"/>
      <c r="G490" s="12" t="n"/>
      <c r="H490" s="13" t="n"/>
      <c r="I490" s="13" t="n"/>
      <c r="J490" s="13" t="n"/>
      <c r="K490" s="13" t="n"/>
      <c r="L490" s="13" t="n"/>
      <c r="M490" s="14">
        <f>IFERROR(IF(A490="","",IFERROR(VLOOKUP(A490,Raw_PriorMonth!A:E,5,FALSE),0)),0)</f>
        <v/>
      </c>
      <c r="N490" s="14">
        <f>IF(A490="","",IFERROR(E490,0)+IFERROR(M490,0))</f>
        <v/>
      </c>
      <c r="O490" s="15">
        <f>IF(A490="","",IF(N490&gt;=28,TRUE,FALSE))</f>
        <v/>
      </c>
      <c r="P490" s="15">
        <f>IF(A490="","",OR(G490=TRUE,O490=TRUE))</f>
        <v/>
      </c>
      <c r="Q490" s="16">
        <f>IF(A490="","",IFERROR(H490,0)+IFERROR(I490,0)+IFERROR(J490,0)+IFERROR(K490,0)+IFERROR(L490,0))</f>
        <v/>
      </c>
      <c r="R490" s="16">
        <f>IF(A490="","",IF(P490=TRUE,0,Q490))</f>
        <v/>
      </c>
      <c r="S490" s="16">
        <f>IF(A490="","",IF(P490=TRUE,0,IFERROR(H490,0)))</f>
        <v/>
      </c>
      <c r="T490" s="16">
        <f>IF(A490="","",IF(P490=TRUE,0,IFERROR(I490,0)))</f>
        <v/>
      </c>
      <c r="U490" s="16">
        <f>IF(A490="","",IF(P490=TRUE,0,IFERROR(J490,0)))</f>
        <v/>
      </c>
      <c r="V490" s="16">
        <f>IF(A490="","",IF(P490=TRUE,0,IFERROR(K490,0)))</f>
        <v/>
      </c>
      <c r="W490" s="16">
        <f>IF(A490="","",IF(P490=TRUE,0,IFERROR(L490,0)))</f>
        <v/>
      </c>
      <c r="X490" s="16">
        <f>IF(A490="","",IF(P490=TRUE,0,IFERROR(H490,0)+IFERROR(I490,0)+IFERROR(L490,0)))</f>
        <v/>
      </c>
      <c r="Y490" s="16">
        <f>IF(A490="",0,IF(G490=TRUE,IFERROR(H490,0)+IFERROR(I490,0)+IFERROR(J490,0)+IFERROR(K490,0)+IFERROR(L490,0),0))</f>
        <v/>
      </c>
      <c r="Z490" s="16">
        <f>IF(A490="",0,IF(AND(O490=TRUE,G490&lt;&gt;TRUE),IFERROR(H490,0)+IFERROR(I490,0)+IFERROR(J490,0)+IFERROR(K490,0)+IFERROR(L490,0),0))</f>
        <v/>
      </c>
    </row>
    <row r="491">
      <c r="A491" s="10" t="n"/>
      <c r="B491" s="10" t="n"/>
      <c r="C491" s="11" t="n"/>
      <c r="D491" s="11" t="n"/>
      <c r="E491" s="10" t="n"/>
      <c r="F491" s="10" t="n"/>
      <c r="G491" s="12" t="n"/>
      <c r="H491" s="13" t="n"/>
      <c r="I491" s="13" t="n"/>
      <c r="J491" s="13" t="n"/>
      <c r="K491" s="13" t="n"/>
      <c r="L491" s="13" t="n"/>
      <c r="M491" s="14">
        <f>IFERROR(IF(A491="","",IFERROR(VLOOKUP(A491,Raw_PriorMonth!A:E,5,FALSE),0)),0)</f>
        <v/>
      </c>
      <c r="N491" s="14">
        <f>IF(A491="","",IFERROR(E491,0)+IFERROR(M491,0))</f>
        <v/>
      </c>
      <c r="O491" s="15">
        <f>IF(A491="","",IF(N491&gt;=28,TRUE,FALSE))</f>
        <v/>
      </c>
      <c r="P491" s="15">
        <f>IF(A491="","",OR(G491=TRUE,O491=TRUE))</f>
        <v/>
      </c>
      <c r="Q491" s="16">
        <f>IF(A491="","",IFERROR(H491,0)+IFERROR(I491,0)+IFERROR(J491,0)+IFERROR(K491,0)+IFERROR(L491,0))</f>
        <v/>
      </c>
      <c r="R491" s="16">
        <f>IF(A491="","",IF(P491=TRUE,0,Q491))</f>
        <v/>
      </c>
      <c r="S491" s="16">
        <f>IF(A491="","",IF(P491=TRUE,0,IFERROR(H491,0)))</f>
        <v/>
      </c>
      <c r="T491" s="16">
        <f>IF(A491="","",IF(P491=TRUE,0,IFERROR(I491,0)))</f>
        <v/>
      </c>
      <c r="U491" s="16">
        <f>IF(A491="","",IF(P491=TRUE,0,IFERROR(J491,0)))</f>
        <v/>
      </c>
      <c r="V491" s="16">
        <f>IF(A491="","",IF(P491=TRUE,0,IFERROR(K491,0)))</f>
        <v/>
      </c>
      <c r="W491" s="16">
        <f>IF(A491="","",IF(P491=TRUE,0,IFERROR(L491,0)))</f>
        <v/>
      </c>
      <c r="X491" s="16">
        <f>IF(A491="","",IF(P491=TRUE,0,IFERROR(H491,0)+IFERROR(I491,0)+IFERROR(L491,0)))</f>
        <v/>
      </c>
      <c r="Y491" s="16">
        <f>IF(A491="",0,IF(G491=TRUE,IFERROR(H491,0)+IFERROR(I491,0)+IFERROR(J491,0)+IFERROR(K491,0)+IFERROR(L491,0),0))</f>
        <v/>
      </c>
      <c r="Z491" s="16">
        <f>IF(A491="",0,IF(AND(O491=TRUE,G491&lt;&gt;TRUE),IFERROR(H491,0)+IFERROR(I491,0)+IFERROR(J491,0)+IFERROR(K491,0)+IFERROR(L491,0),0))</f>
        <v/>
      </c>
    </row>
    <row r="492">
      <c r="A492" s="10" t="n"/>
      <c r="B492" s="10" t="n"/>
      <c r="C492" s="11" t="n"/>
      <c r="D492" s="11" t="n"/>
      <c r="E492" s="10" t="n"/>
      <c r="F492" s="10" t="n"/>
      <c r="G492" s="12" t="n"/>
      <c r="H492" s="13" t="n"/>
      <c r="I492" s="13" t="n"/>
      <c r="J492" s="13" t="n"/>
      <c r="K492" s="13" t="n"/>
      <c r="L492" s="13" t="n"/>
      <c r="M492" s="14">
        <f>IFERROR(IF(A492="","",IFERROR(VLOOKUP(A492,Raw_PriorMonth!A:E,5,FALSE),0)),0)</f>
        <v/>
      </c>
      <c r="N492" s="14">
        <f>IF(A492="","",IFERROR(E492,0)+IFERROR(M492,0))</f>
        <v/>
      </c>
      <c r="O492" s="15">
        <f>IF(A492="","",IF(N492&gt;=28,TRUE,FALSE))</f>
        <v/>
      </c>
      <c r="P492" s="15">
        <f>IF(A492="","",OR(G492=TRUE,O492=TRUE))</f>
        <v/>
      </c>
      <c r="Q492" s="16">
        <f>IF(A492="","",IFERROR(H492,0)+IFERROR(I492,0)+IFERROR(J492,0)+IFERROR(K492,0)+IFERROR(L492,0))</f>
        <v/>
      </c>
      <c r="R492" s="16">
        <f>IF(A492="","",IF(P492=TRUE,0,Q492))</f>
        <v/>
      </c>
      <c r="S492" s="16">
        <f>IF(A492="","",IF(P492=TRUE,0,IFERROR(H492,0)))</f>
        <v/>
      </c>
      <c r="T492" s="16">
        <f>IF(A492="","",IF(P492=TRUE,0,IFERROR(I492,0)))</f>
        <v/>
      </c>
      <c r="U492" s="16">
        <f>IF(A492="","",IF(P492=TRUE,0,IFERROR(J492,0)))</f>
        <v/>
      </c>
      <c r="V492" s="16">
        <f>IF(A492="","",IF(P492=TRUE,0,IFERROR(K492,0)))</f>
        <v/>
      </c>
      <c r="W492" s="16">
        <f>IF(A492="","",IF(P492=TRUE,0,IFERROR(L492,0)))</f>
        <v/>
      </c>
      <c r="X492" s="16">
        <f>IF(A492="","",IF(P492=TRUE,0,IFERROR(H492,0)+IFERROR(I492,0)+IFERROR(L492,0)))</f>
        <v/>
      </c>
      <c r="Y492" s="16">
        <f>IF(A492="",0,IF(G492=TRUE,IFERROR(H492,0)+IFERROR(I492,0)+IFERROR(J492,0)+IFERROR(K492,0)+IFERROR(L492,0),0))</f>
        <v/>
      </c>
      <c r="Z492" s="16">
        <f>IF(A492="",0,IF(AND(O492=TRUE,G492&lt;&gt;TRUE),IFERROR(H492,0)+IFERROR(I492,0)+IFERROR(J492,0)+IFERROR(K492,0)+IFERROR(L492,0),0))</f>
        <v/>
      </c>
    </row>
    <row r="493">
      <c r="A493" s="10" t="n"/>
      <c r="B493" s="10" t="n"/>
      <c r="C493" s="11" t="n"/>
      <c r="D493" s="11" t="n"/>
      <c r="E493" s="10" t="n"/>
      <c r="F493" s="10" t="n"/>
      <c r="G493" s="12" t="n"/>
      <c r="H493" s="13" t="n"/>
      <c r="I493" s="13" t="n"/>
      <c r="J493" s="13" t="n"/>
      <c r="K493" s="13" t="n"/>
      <c r="L493" s="13" t="n"/>
      <c r="M493" s="14">
        <f>IFERROR(IF(A493="","",IFERROR(VLOOKUP(A493,Raw_PriorMonth!A:E,5,FALSE),0)),0)</f>
        <v/>
      </c>
      <c r="N493" s="14">
        <f>IF(A493="","",IFERROR(E493,0)+IFERROR(M493,0))</f>
        <v/>
      </c>
      <c r="O493" s="15">
        <f>IF(A493="","",IF(N493&gt;=28,TRUE,FALSE))</f>
        <v/>
      </c>
      <c r="P493" s="15">
        <f>IF(A493="","",OR(G493=TRUE,O493=TRUE))</f>
        <v/>
      </c>
      <c r="Q493" s="16">
        <f>IF(A493="","",IFERROR(H493,0)+IFERROR(I493,0)+IFERROR(J493,0)+IFERROR(K493,0)+IFERROR(L493,0))</f>
        <v/>
      </c>
      <c r="R493" s="16">
        <f>IF(A493="","",IF(P493=TRUE,0,Q493))</f>
        <v/>
      </c>
      <c r="S493" s="16">
        <f>IF(A493="","",IF(P493=TRUE,0,IFERROR(H493,0)))</f>
        <v/>
      </c>
      <c r="T493" s="16">
        <f>IF(A493="","",IF(P493=TRUE,0,IFERROR(I493,0)))</f>
        <v/>
      </c>
      <c r="U493" s="16">
        <f>IF(A493="","",IF(P493=TRUE,0,IFERROR(J493,0)))</f>
        <v/>
      </c>
      <c r="V493" s="16">
        <f>IF(A493="","",IF(P493=TRUE,0,IFERROR(K493,0)))</f>
        <v/>
      </c>
      <c r="W493" s="16">
        <f>IF(A493="","",IF(P493=TRUE,0,IFERROR(L493,0)))</f>
        <v/>
      </c>
      <c r="X493" s="16">
        <f>IF(A493="","",IF(P493=TRUE,0,IFERROR(H493,0)+IFERROR(I493,0)+IFERROR(L493,0)))</f>
        <v/>
      </c>
      <c r="Y493" s="16">
        <f>IF(A493="",0,IF(G493=TRUE,IFERROR(H493,0)+IFERROR(I493,0)+IFERROR(J493,0)+IFERROR(K493,0)+IFERROR(L493,0),0))</f>
        <v/>
      </c>
      <c r="Z493" s="16">
        <f>IF(A493="",0,IF(AND(O493=TRUE,G493&lt;&gt;TRUE),IFERROR(H493,0)+IFERROR(I493,0)+IFERROR(J493,0)+IFERROR(K493,0)+IFERROR(L493,0),0))</f>
        <v/>
      </c>
    </row>
    <row r="494">
      <c r="A494" s="10" t="n"/>
      <c r="B494" s="10" t="n"/>
      <c r="C494" s="11" t="n"/>
      <c r="D494" s="11" t="n"/>
      <c r="E494" s="10" t="n"/>
      <c r="F494" s="10" t="n"/>
      <c r="G494" s="12" t="n"/>
      <c r="H494" s="13" t="n"/>
      <c r="I494" s="13" t="n"/>
      <c r="J494" s="13" t="n"/>
      <c r="K494" s="13" t="n"/>
      <c r="L494" s="13" t="n"/>
      <c r="M494" s="14">
        <f>IFERROR(IF(A494="","",IFERROR(VLOOKUP(A494,Raw_PriorMonth!A:E,5,FALSE),0)),0)</f>
        <v/>
      </c>
      <c r="N494" s="14">
        <f>IF(A494="","",IFERROR(E494,0)+IFERROR(M494,0))</f>
        <v/>
      </c>
      <c r="O494" s="15">
        <f>IF(A494="","",IF(N494&gt;=28,TRUE,FALSE))</f>
        <v/>
      </c>
      <c r="P494" s="15">
        <f>IF(A494="","",OR(G494=TRUE,O494=TRUE))</f>
        <v/>
      </c>
      <c r="Q494" s="16">
        <f>IF(A494="","",IFERROR(H494,0)+IFERROR(I494,0)+IFERROR(J494,0)+IFERROR(K494,0)+IFERROR(L494,0))</f>
        <v/>
      </c>
      <c r="R494" s="16">
        <f>IF(A494="","",IF(P494=TRUE,0,Q494))</f>
        <v/>
      </c>
      <c r="S494" s="16">
        <f>IF(A494="","",IF(P494=TRUE,0,IFERROR(H494,0)))</f>
        <v/>
      </c>
      <c r="T494" s="16">
        <f>IF(A494="","",IF(P494=TRUE,0,IFERROR(I494,0)))</f>
        <v/>
      </c>
      <c r="U494" s="16">
        <f>IF(A494="","",IF(P494=TRUE,0,IFERROR(J494,0)))</f>
        <v/>
      </c>
      <c r="V494" s="16">
        <f>IF(A494="","",IF(P494=TRUE,0,IFERROR(K494,0)))</f>
        <v/>
      </c>
      <c r="W494" s="16">
        <f>IF(A494="","",IF(P494=TRUE,0,IFERROR(L494,0)))</f>
        <v/>
      </c>
      <c r="X494" s="16">
        <f>IF(A494="","",IF(P494=TRUE,0,IFERROR(H494,0)+IFERROR(I494,0)+IFERROR(L494,0)))</f>
        <v/>
      </c>
      <c r="Y494" s="16">
        <f>IF(A494="",0,IF(G494=TRUE,IFERROR(H494,0)+IFERROR(I494,0)+IFERROR(J494,0)+IFERROR(K494,0)+IFERROR(L494,0),0))</f>
        <v/>
      </c>
      <c r="Z494" s="16">
        <f>IF(A494="",0,IF(AND(O494=TRUE,G494&lt;&gt;TRUE),IFERROR(H494,0)+IFERROR(I494,0)+IFERROR(J494,0)+IFERROR(K494,0)+IFERROR(L494,0),0))</f>
        <v/>
      </c>
    </row>
    <row r="495">
      <c r="A495" s="10" t="n"/>
      <c r="B495" s="10" t="n"/>
      <c r="C495" s="11" t="n"/>
      <c r="D495" s="11" t="n"/>
      <c r="E495" s="10" t="n"/>
      <c r="F495" s="10" t="n"/>
      <c r="G495" s="12" t="n"/>
      <c r="H495" s="13" t="n"/>
      <c r="I495" s="13" t="n"/>
      <c r="J495" s="13" t="n"/>
      <c r="K495" s="13" t="n"/>
      <c r="L495" s="13" t="n"/>
      <c r="M495" s="14">
        <f>IFERROR(IF(A495="","",IFERROR(VLOOKUP(A495,Raw_PriorMonth!A:E,5,FALSE),0)),0)</f>
        <v/>
      </c>
      <c r="N495" s="14">
        <f>IF(A495="","",IFERROR(E495,0)+IFERROR(M495,0))</f>
        <v/>
      </c>
      <c r="O495" s="15">
        <f>IF(A495="","",IF(N495&gt;=28,TRUE,FALSE))</f>
        <v/>
      </c>
      <c r="P495" s="15">
        <f>IF(A495="","",OR(G495=TRUE,O495=TRUE))</f>
        <v/>
      </c>
      <c r="Q495" s="16">
        <f>IF(A495="","",IFERROR(H495,0)+IFERROR(I495,0)+IFERROR(J495,0)+IFERROR(K495,0)+IFERROR(L495,0))</f>
        <v/>
      </c>
      <c r="R495" s="16">
        <f>IF(A495="","",IF(P495=TRUE,0,Q495))</f>
        <v/>
      </c>
      <c r="S495" s="16">
        <f>IF(A495="","",IF(P495=TRUE,0,IFERROR(H495,0)))</f>
        <v/>
      </c>
      <c r="T495" s="16">
        <f>IF(A495="","",IF(P495=TRUE,0,IFERROR(I495,0)))</f>
        <v/>
      </c>
      <c r="U495" s="16">
        <f>IF(A495="","",IF(P495=TRUE,0,IFERROR(J495,0)))</f>
        <v/>
      </c>
      <c r="V495" s="16">
        <f>IF(A495="","",IF(P495=TRUE,0,IFERROR(K495,0)))</f>
        <v/>
      </c>
      <c r="W495" s="16">
        <f>IF(A495="","",IF(P495=TRUE,0,IFERROR(L495,0)))</f>
        <v/>
      </c>
      <c r="X495" s="16">
        <f>IF(A495="","",IF(P495=TRUE,0,IFERROR(H495,0)+IFERROR(I495,0)+IFERROR(L495,0)))</f>
        <v/>
      </c>
      <c r="Y495" s="16">
        <f>IF(A495="",0,IF(G495=TRUE,IFERROR(H495,0)+IFERROR(I495,0)+IFERROR(J495,0)+IFERROR(K495,0)+IFERROR(L495,0),0))</f>
        <v/>
      </c>
      <c r="Z495" s="16">
        <f>IF(A495="",0,IF(AND(O495=TRUE,G495&lt;&gt;TRUE),IFERROR(H495,0)+IFERROR(I495,0)+IFERROR(J495,0)+IFERROR(K495,0)+IFERROR(L495,0),0))</f>
        <v/>
      </c>
    </row>
    <row r="496">
      <c r="A496" s="10" t="n"/>
      <c r="B496" s="10" t="n"/>
      <c r="C496" s="11" t="n"/>
      <c r="D496" s="11" t="n"/>
      <c r="E496" s="10" t="n"/>
      <c r="F496" s="10" t="n"/>
      <c r="G496" s="12" t="n"/>
      <c r="H496" s="13" t="n"/>
      <c r="I496" s="13" t="n"/>
      <c r="J496" s="13" t="n"/>
      <c r="K496" s="13" t="n"/>
      <c r="L496" s="13" t="n"/>
      <c r="M496" s="14">
        <f>IFERROR(IF(A496="","",IFERROR(VLOOKUP(A496,Raw_PriorMonth!A:E,5,FALSE),0)),0)</f>
        <v/>
      </c>
      <c r="N496" s="14">
        <f>IF(A496="","",IFERROR(E496,0)+IFERROR(M496,0))</f>
        <v/>
      </c>
      <c r="O496" s="15">
        <f>IF(A496="","",IF(N496&gt;=28,TRUE,FALSE))</f>
        <v/>
      </c>
      <c r="P496" s="15">
        <f>IF(A496="","",OR(G496=TRUE,O496=TRUE))</f>
        <v/>
      </c>
      <c r="Q496" s="16">
        <f>IF(A496="","",IFERROR(H496,0)+IFERROR(I496,0)+IFERROR(J496,0)+IFERROR(K496,0)+IFERROR(L496,0))</f>
        <v/>
      </c>
      <c r="R496" s="16">
        <f>IF(A496="","",IF(P496=TRUE,0,Q496))</f>
        <v/>
      </c>
      <c r="S496" s="16">
        <f>IF(A496="","",IF(P496=TRUE,0,IFERROR(H496,0)))</f>
        <v/>
      </c>
      <c r="T496" s="16">
        <f>IF(A496="","",IF(P496=TRUE,0,IFERROR(I496,0)))</f>
        <v/>
      </c>
      <c r="U496" s="16">
        <f>IF(A496="","",IF(P496=TRUE,0,IFERROR(J496,0)))</f>
        <v/>
      </c>
      <c r="V496" s="16">
        <f>IF(A496="","",IF(P496=TRUE,0,IFERROR(K496,0)))</f>
        <v/>
      </c>
      <c r="W496" s="16">
        <f>IF(A496="","",IF(P496=TRUE,0,IFERROR(L496,0)))</f>
        <v/>
      </c>
      <c r="X496" s="16">
        <f>IF(A496="","",IF(P496=TRUE,0,IFERROR(H496,0)+IFERROR(I496,0)+IFERROR(L496,0)))</f>
        <v/>
      </c>
      <c r="Y496" s="16">
        <f>IF(A496="",0,IF(G496=TRUE,IFERROR(H496,0)+IFERROR(I496,0)+IFERROR(J496,0)+IFERROR(K496,0)+IFERROR(L496,0),0))</f>
        <v/>
      </c>
      <c r="Z496" s="16">
        <f>IF(A496="",0,IF(AND(O496=TRUE,G496&lt;&gt;TRUE),IFERROR(H496,0)+IFERROR(I496,0)+IFERROR(J496,0)+IFERROR(K496,0)+IFERROR(L496,0),0))</f>
        <v/>
      </c>
    </row>
    <row r="497">
      <c r="A497" s="10" t="n"/>
      <c r="B497" s="10" t="n"/>
      <c r="C497" s="11" t="n"/>
      <c r="D497" s="11" t="n"/>
      <c r="E497" s="10" t="n"/>
      <c r="F497" s="10" t="n"/>
      <c r="G497" s="12" t="n"/>
      <c r="H497" s="13" t="n"/>
      <c r="I497" s="13" t="n"/>
      <c r="J497" s="13" t="n"/>
      <c r="K497" s="13" t="n"/>
      <c r="L497" s="13" t="n"/>
      <c r="M497" s="14">
        <f>IFERROR(IF(A497="","",IFERROR(VLOOKUP(A497,Raw_PriorMonth!A:E,5,FALSE),0)),0)</f>
        <v/>
      </c>
      <c r="N497" s="14">
        <f>IF(A497="","",IFERROR(E497,0)+IFERROR(M497,0))</f>
        <v/>
      </c>
      <c r="O497" s="15">
        <f>IF(A497="","",IF(N497&gt;=28,TRUE,FALSE))</f>
        <v/>
      </c>
      <c r="P497" s="15">
        <f>IF(A497="","",OR(G497=TRUE,O497=TRUE))</f>
        <v/>
      </c>
      <c r="Q497" s="16">
        <f>IF(A497="","",IFERROR(H497,0)+IFERROR(I497,0)+IFERROR(J497,0)+IFERROR(K497,0)+IFERROR(L497,0))</f>
        <v/>
      </c>
      <c r="R497" s="16">
        <f>IF(A497="","",IF(P497=TRUE,0,Q497))</f>
        <v/>
      </c>
      <c r="S497" s="16">
        <f>IF(A497="","",IF(P497=TRUE,0,IFERROR(H497,0)))</f>
        <v/>
      </c>
      <c r="T497" s="16">
        <f>IF(A497="","",IF(P497=TRUE,0,IFERROR(I497,0)))</f>
        <v/>
      </c>
      <c r="U497" s="16">
        <f>IF(A497="","",IF(P497=TRUE,0,IFERROR(J497,0)))</f>
        <v/>
      </c>
      <c r="V497" s="16">
        <f>IF(A497="","",IF(P497=TRUE,0,IFERROR(K497,0)))</f>
        <v/>
      </c>
      <c r="W497" s="16">
        <f>IF(A497="","",IF(P497=TRUE,0,IFERROR(L497,0)))</f>
        <v/>
      </c>
      <c r="X497" s="16">
        <f>IF(A497="","",IF(P497=TRUE,0,IFERROR(H497,0)+IFERROR(I497,0)+IFERROR(L497,0)))</f>
        <v/>
      </c>
      <c r="Y497" s="16">
        <f>IF(A497="",0,IF(G497=TRUE,IFERROR(H497,0)+IFERROR(I497,0)+IFERROR(J497,0)+IFERROR(K497,0)+IFERROR(L497,0),0))</f>
        <v/>
      </c>
      <c r="Z497" s="16">
        <f>IF(A497="",0,IF(AND(O497=TRUE,G497&lt;&gt;TRUE),IFERROR(H497,0)+IFERROR(I497,0)+IFERROR(J497,0)+IFERROR(K497,0)+IFERROR(L497,0),0))</f>
        <v/>
      </c>
    </row>
    <row r="498">
      <c r="A498" s="10" t="n"/>
      <c r="B498" s="10" t="n"/>
      <c r="C498" s="11" t="n"/>
      <c r="D498" s="11" t="n"/>
      <c r="E498" s="10" t="n"/>
      <c r="F498" s="10" t="n"/>
      <c r="G498" s="12" t="n"/>
      <c r="H498" s="13" t="n"/>
      <c r="I498" s="13" t="n"/>
      <c r="J498" s="13" t="n"/>
      <c r="K498" s="13" t="n"/>
      <c r="L498" s="13" t="n"/>
      <c r="M498" s="14">
        <f>IFERROR(IF(A498="","",IFERROR(VLOOKUP(A498,Raw_PriorMonth!A:E,5,FALSE),0)),0)</f>
        <v/>
      </c>
      <c r="N498" s="14">
        <f>IF(A498="","",IFERROR(E498,0)+IFERROR(M498,0))</f>
        <v/>
      </c>
      <c r="O498" s="15">
        <f>IF(A498="","",IF(N498&gt;=28,TRUE,FALSE))</f>
        <v/>
      </c>
      <c r="P498" s="15">
        <f>IF(A498="","",OR(G498=TRUE,O498=TRUE))</f>
        <v/>
      </c>
      <c r="Q498" s="16">
        <f>IF(A498="","",IFERROR(H498,0)+IFERROR(I498,0)+IFERROR(J498,0)+IFERROR(K498,0)+IFERROR(L498,0))</f>
        <v/>
      </c>
      <c r="R498" s="16">
        <f>IF(A498="","",IF(P498=TRUE,0,Q498))</f>
        <v/>
      </c>
      <c r="S498" s="16">
        <f>IF(A498="","",IF(P498=TRUE,0,IFERROR(H498,0)))</f>
        <v/>
      </c>
      <c r="T498" s="16">
        <f>IF(A498="","",IF(P498=TRUE,0,IFERROR(I498,0)))</f>
        <v/>
      </c>
      <c r="U498" s="16">
        <f>IF(A498="","",IF(P498=TRUE,0,IFERROR(J498,0)))</f>
        <v/>
      </c>
      <c r="V498" s="16">
        <f>IF(A498="","",IF(P498=TRUE,0,IFERROR(K498,0)))</f>
        <v/>
      </c>
      <c r="W498" s="16">
        <f>IF(A498="","",IF(P498=TRUE,0,IFERROR(L498,0)))</f>
        <v/>
      </c>
      <c r="X498" s="16">
        <f>IF(A498="","",IF(P498=TRUE,0,IFERROR(H498,0)+IFERROR(I498,0)+IFERROR(L498,0)))</f>
        <v/>
      </c>
      <c r="Y498" s="16">
        <f>IF(A498="",0,IF(G498=TRUE,IFERROR(H498,0)+IFERROR(I498,0)+IFERROR(J498,0)+IFERROR(K498,0)+IFERROR(L498,0),0))</f>
        <v/>
      </c>
      <c r="Z498" s="16">
        <f>IF(A498="",0,IF(AND(O498=TRUE,G498&lt;&gt;TRUE),IFERROR(H498,0)+IFERROR(I498,0)+IFERROR(J498,0)+IFERROR(K498,0)+IFERROR(L498,0),0))</f>
        <v/>
      </c>
    </row>
    <row r="499">
      <c r="A499" s="10" t="n"/>
      <c r="B499" s="10" t="n"/>
      <c r="C499" s="11" t="n"/>
      <c r="D499" s="11" t="n"/>
      <c r="E499" s="10" t="n"/>
      <c r="F499" s="10" t="n"/>
      <c r="G499" s="12" t="n"/>
      <c r="H499" s="13" t="n"/>
      <c r="I499" s="13" t="n"/>
      <c r="J499" s="13" t="n"/>
      <c r="K499" s="13" t="n"/>
      <c r="L499" s="13" t="n"/>
      <c r="M499" s="14">
        <f>IFERROR(IF(A499="","",IFERROR(VLOOKUP(A499,Raw_PriorMonth!A:E,5,FALSE),0)),0)</f>
        <v/>
      </c>
      <c r="N499" s="14">
        <f>IF(A499="","",IFERROR(E499,0)+IFERROR(M499,0))</f>
        <v/>
      </c>
      <c r="O499" s="15">
        <f>IF(A499="","",IF(N499&gt;=28,TRUE,FALSE))</f>
        <v/>
      </c>
      <c r="P499" s="15">
        <f>IF(A499="","",OR(G499=TRUE,O499=TRUE))</f>
        <v/>
      </c>
      <c r="Q499" s="16">
        <f>IF(A499="","",IFERROR(H499,0)+IFERROR(I499,0)+IFERROR(J499,0)+IFERROR(K499,0)+IFERROR(L499,0))</f>
        <v/>
      </c>
      <c r="R499" s="16">
        <f>IF(A499="","",IF(P499=TRUE,0,Q499))</f>
        <v/>
      </c>
      <c r="S499" s="16">
        <f>IF(A499="","",IF(P499=TRUE,0,IFERROR(H499,0)))</f>
        <v/>
      </c>
      <c r="T499" s="16">
        <f>IF(A499="","",IF(P499=TRUE,0,IFERROR(I499,0)))</f>
        <v/>
      </c>
      <c r="U499" s="16">
        <f>IF(A499="","",IF(P499=TRUE,0,IFERROR(J499,0)))</f>
        <v/>
      </c>
      <c r="V499" s="16">
        <f>IF(A499="","",IF(P499=TRUE,0,IFERROR(K499,0)))</f>
        <v/>
      </c>
      <c r="W499" s="16">
        <f>IF(A499="","",IF(P499=TRUE,0,IFERROR(L499,0)))</f>
        <v/>
      </c>
      <c r="X499" s="16">
        <f>IF(A499="","",IF(P499=TRUE,0,IFERROR(H499,0)+IFERROR(I499,0)+IFERROR(L499,0)))</f>
        <v/>
      </c>
      <c r="Y499" s="16">
        <f>IF(A499="",0,IF(G499=TRUE,IFERROR(H499,0)+IFERROR(I499,0)+IFERROR(J499,0)+IFERROR(K499,0)+IFERROR(L499,0),0))</f>
        <v/>
      </c>
      <c r="Z499" s="16">
        <f>IF(A499="",0,IF(AND(O499=TRUE,G499&lt;&gt;TRUE),IFERROR(H499,0)+IFERROR(I499,0)+IFERROR(J499,0)+IFERROR(K499,0)+IFERROR(L499,0),0))</f>
        <v/>
      </c>
    </row>
    <row r="500">
      <c r="A500" s="10" t="n"/>
      <c r="B500" s="10" t="n"/>
      <c r="C500" s="11" t="n"/>
      <c r="D500" s="11" t="n"/>
      <c r="E500" s="10" t="n"/>
      <c r="F500" s="10" t="n"/>
      <c r="G500" s="12" t="n"/>
      <c r="H500" s="13" t="n"/>
      <c r="I500" s="13" t="n"/>
      <c r="J500" s="13" t="n"/>
      <c r="K500" s="13" t="n"/>
      <c r="L500" s="13" t="n"/>
      <c r="M500" s="14">
        <f>IFERROR(IF(A500="","",IFERROR(VLOOKUP(A500,Raw_PriorMonth!A:E,5,FALSE),0)),0)</f>
        <v/>
      </c>
      <c r="N500" s="14">
        <f>IF(A500="","",IFERROR(E500,0)+IFERROR(M500,0))</f>
        <v/>
      </c>
      <c r="O500" s="15">
        <f>IF(A500="","",IF(N500&gt;=28,TRUE,FALSE))</f>
        <v/>
      </c>
      <c r="P500" s="15">
        <f>IF(A500="","",OR(G500=TRUE,O500=TRUE))</f>
        <v/>
      </c>
      <c r="Q500" s="16">
        <f>IF(A500="","",IFERROR(H500,0)+IFERROR(I500,0)+IFERROR(J500,0)+IFERROR(K500,0)+IFERROR(L500,0))</f>
        <v/>
      </c>
      <c r="R500" s="16">
        <f>IF(A500="","",IF(P500=TRUE,0,Q500))</f>
        <v/>
      </c>
      <c r="S500" s="16">
        <f>IF(A500="","",IF(P500=TRUE,0,IFERROR(H500,0)))</f>
        <v/>
      </c>
      <c r="T500" s="16">
        <f>IF(A500="","",IF(P500=TRUE,0,IFERROR(I500,0)))</f>
        <v/>
      </c>
      <c r="U500" s="16">
        <f>IF(A500="","",IF(P500=TRUE,0,IFERROR(J500,0)))</f>
        <v/>
      </c>
      <c r="V500" s="16">
        <f>IF(A500="","",IF(P500=TRUE,0,IFERROR(K500,0)))</f>
        <v/>
      </c>
      <c r="W500" s="16">
        <f>IF(A500="","",IF(P500=TRUE,0,IFERROR(L500,0)))</f>
        <v/>
      </c>
      <c r="X500" s="16">
        <f>IF(A500="","",IF(P500=TRUE,0,IFERROR(H500,0)+IFERROR(I500,0)+IFERROR(L500,0)))</f>
        <v/>
      </c>
      <c r="Y500" s="16">
        <f>IF(A500="",0,IF(G500=TRUE,IFERROR(H500,0)+IFERROR(I500,0)+IFERROR(J500,0)+IFERROR(K500,0)+IFERROR(L500,0),0))</f>
        <v/>
      </c>
      <c r="Z500" s="16">
        <f>IF(A500="",0,IF(AND(O500=TRUE,G500&lt;&gt;TRUE),IFERROR(H500,0)+IFERROR(I500,0)+IFERROR(J500,0)+IFERROR(K500,0)+IFERROR(L500,0),0))</f>
        <v/>
      </c>
    </row>
    <row r="501">
      <c r="A501" s="10" t="n"/>
      <c r="B501" s="10" t="n"/>
      <c r="C501" s="11" t="n"/>
      <c r="D501" s="11" t="n"/>
      <c r="E501" s="10" t="n"/>
      <c r="F501" s="10" t="n"/>
      <c r="G501" s="12" t="n"/>
      <c r="H501" s="13" t="n"/>
      <c r="I501" s="13" t="n"/>
      <c r="J501" s="13" t="n"/>
      <c r="K501" s="13" t="n"/>
      <c r="L501" s="13" t="n"/>
      <c r="M501" s="14">
        <f>IFERROR(IF(A501="","",IFERROR(VLOOKUP(A501,Raw_PriorMonth!A:E,5,FALSE),0)),0)</f>
        <v/>
      </c>
      <c r="N501" s="14">
        <f>IF(A501="","",IFERROR(E501,0)+IFERROR(M501,0))</f>
        <v/>
      </c>
      <c r="O501" s="15">
        <f>IF(A501="","",IF(N501&gt;=28,TRUE,FALSE))</f>
        <v/>
      </c>
      <c r="P501" s="15">
        <f>IF(A501="","",OR(G501=TRUE,O501=TRUE))</f>
        <v/>
      </c>
      <c r="Q501" s="16">
        <f>IF(A501="","",IFERROR(H501,0)+IFERROR(I501,0)+IFERROR(J501,0)+IFERROR(K501,0)+IFERROR(L501,0))</f>
        <v/>
      </c>
      <c r="R501" s="16">
        <f>IF(A501="","",IF(P501=TRUE,0,Q501))</f>
        <v/>
      </c>
      <c r="S501" s="16">
        <f>IF(A501="","",IF(P501=TRUE,0,IFERROR(H501,0)))</f>
        <v/>
      </c>
      <c r="T501" s="16">
        <f>IF(A501="","",IF(P501=TRUE,0,IFERROR(I501,0)))</f>
        <v/>
      </c>
      <c r="U501" s="16">
        <f>IF(A501="","",IF(P501=TRUE,0,IFERROR(J501,0)))</f>
        <v/>
      </c>
      <c r="V501" s="16">
        <f>IF(A501="","",IF(P501=TRUE,0,IFERROR(K501,0)))</f>
        <v/>
      </c>
      <c r="W501" s="16">
        <f>IF(A501="","",IF(P501=TRUE,0,IFERROR(L501,0)))</f>
        <v/>
      </c>
      <c r="X501" s="16">
        <f>IF(A501="","",IF(P501=TRUE,0,IFERROR(H501,0)+IFERROR(I501,0)+IFERROR(L501,0)))</f>
        <v/>
      </c>
      <c r="Y501" s="16">
        <f>IF(A501="",0,IF(G501=TRUE,IFERROR(H501,0)+IFERROR(I501,0)+IFERROR(J501,0)+IFERROR(K501,0)+IFERROR(L501,0),0))</f>
        <v/>
      </c>
      <c r="Z501" s="16">
        <f>IF(A501="",0,IF(AND(O501=TRUE,G501&lt;&gt;TRUE),IFERROR(H501,0)+IFERROR(I501,0)+IFERROR(J501,0)+IFERROR(K501,0)+IFERROR(L501,0),0))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  <col width="10" customWidth="1" min="5" max="5"/>
    <col width="18" customWidth="1" min="6" max="6"/>
    <col width="12" customWidth="1" min="7" max="7"/>
    <col width="13" customWidth="1" min="8" max="8"/>
    <col width="12" customWidth="1" min="9" max="9"/>
    <col width="16" customWidth="1" min="10" max="10"/>
    <col width="12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16" customWidth="1" min="19" max="19"/>
    <col width="14" customWidth="1" min="20" max="20"/>
    <col width="16" customWidth="1" min="21" max="21"/>
    <col width="14" customWidth="1" min="22" max="22"/>
    <col width="14" customWidth="1" min="23" max="23"/>
    <col width="18" customWidth="1" min="24" max="24"/>
    <col width="18" customWidth="1" min="25" max="25"/>
    <col width="18" customWidth="1" min="26" max="26"/>
  </cols>
  <sheetData>
    <row r="1">
      <c r="A1" s="9" t="inlineStr">
        <is>
          <t>ReservationID</t>
        </is>
      </c>
      <c r="B1" s="9" t="inlineStr">
        <is>
          <t>GuestName</t>
        </is>
      </c>
      <c r="C1" s="9" t="inlineStr">
        <is>
          <t>CheckIn</t>
        </is>
      </c>
      <c r="D1" s="9" t="inlineStr">
        <is>
          <t>CheckOut</t>
        </is>
      </c>
      <c r="E1" s="9" t="inlineStr">
        <is>
          <t>NightsThisMonth</t>
        </is>
      </c>
      <c r="F1" s="9" t="inlineStr">
        <is>
          <t>ReservationSource</t>
        </is>
      </c>
      <c r="G1" s="9" t="inlineStr">
        <is>
          <t>StateExempt</t>
        </is>
      </c>
      <c r="H1" s="9" t="inlineStr">
        <is>
          <t>RoomRevenue</t>
        </is>
      </c>
      <c r="I1" s="9" t="inlineStr">
        <is>
          <t>PetFees</t>
        </is>
      </c>
      <c r="J1" s="9" t="inlineStr">
        <is>
          <t>OtherItemsAndServices</t>
        </is>
      </c>
      <c r="K1" s="9" t="inlineStr">
        <is>
          <t>Bartab</t>
        </is>
      </c>
      <c r="L1" s="9" t="inlineStr">
        <is>
          <t>RoomRateAdjustments</t>
        </is>
      </c>
      <c r="M1" s="9" t="inlineStr">
        <is>
          <t>IsNowExempt</t>
        </is>
      </c>
      <c r="N1" s="9" t="inlineStr">
        <is>
          <t>RefundableRevenue</t>
        </is>
      </c>
      <c r="O1" s="9" t="inlineStr">
        <is>
          <t>RefundableRoomRev</t>
        </is>
      </c>
      <c r="P1" s="9" t="inlineStr">
        <is>
          <t>RefundablePetFees</t>
        </is>
      </c>
      <c r="Q1" s="9" t="inlineStr">
        <is>
          <t>RefundableOther</t>
        </is>
      </c>
      <c r="R1" s="9" t="inlineStr">
        <is>
          <t>RefundableBartab</t>
        </is>
      </c>
      <c r="S1" s="9" t="inlineStr">
        <is>
          <t>RefundableRoomAdj</t>
        </is>
      </c>
      <c r="T1" s="9" t="inlineStr">
        <is>
          <t>RefundableLodging</t>
        </is>
      </c>
    </row>
    <row r="2">
      <c r="A2" s="10" t="n"/>
      <c r="B2" s="10" t="n"/>
      <c r="C2" s="11" t="n"/>
      <c r="D2" s="11" t="n"/>
      <c r="E2" s="10" t="n"/>
      <c r="F2" s="10" t="n"/>
      <c r="G2" s="12" t="n"/>
      <c r="H2" s="13" t="n"/>
      <c r="I2" s="13" t="n"/>
      <c r="J2" s="13" t="n"/>
      <c r="K2" s="13" t="n"/>
      <c r="L2" s="13" t="n"/>
      <c r="M2" s="17">
        <f>IF(A2="","",IFERROR(VLOOKUP(A2,Raw_CurrentMonth!A:O,15,FALSE)=TRUE,FALSE))</f>
        <v/>
      </c>
      <c r="N2" s="16">
        <f>IF(A2="","",IF(M2=TRUE,IFERROR(H2,0)+IFERROR(I2,0)+IFERROR(J2,0)+IFERROR(K2,0)+IFERROR(L2,0),0))</f>
        <v/>
      </c>
      <c r="O2" s="16">
        <f>IF(A2="","",IF(M2=TRUE,IFERROR(H2,0),0))</f>
        <v/>
      </c>
      <c r="P2" s="16">
        <f>IF(A2="","",IF(M2=TRUE,IFERROR(I2,0),0))</f>
        <v/>
      </c>
      <c r="Q2" s="16">
        <f>IF(A2="","",IF(M2=TRUE,IFERROR(J2,0),0))</f>
        <v/>
      </c>
      <c r="R2" s="16">
        <f>IF(A2="","",IF(M2=TRUE,IFERROR(K2,0),0))</f>
        <v/>
      </c>
      <c r="S2" s="16">
        <f>IF(A2="","",IF(M2=TRUE,IFERROR(L2,0),0))</f>
        <v/>
      </c>
      <c r="T2" s="16">
        <f>IF(A2="","",IF(M2=TRUE,IFERROR(H2,0)+IFERROR(I2,0)+IFERROR(L2,0),0))</f>
        <v/>
      </c>
    </row>
    <row r="3">
      <c r="A3" s="10" t="n"/>
      <c r="B3" s="10" t="n"/>
      <c r="C3" s="11" t="n"/>
      <c r="D3" s="11" t="n"/>
      <c r="E3" s="10" t="n"/>
      <c r="F3" s="10" t="n"/>
      <c r="G3" s="12" t="n"/>
      <c r="H3" s="13" t="n"/>
      <c r="I3" s="13" t="n"/>
      <c r="J3" s="13" t="n"/>
      <c r="K3" s="13" t="n"/>
      <c r="L3" s="13" t="n"/>
      <c r="M3" s="17">
        <f>IF(A3="","",IFERROR(VLOOKUP(A3,Raw_CurrentMonth!A:O,15,FALSE)=TRUE,FALSE))</f>
        <v/>
      </c>
      <c r="N3" s="16">
        <f>IF(A3="","",IF(M3=TRUE,IFERROR(H3,0)+IFERROR(I3,0)+IFERROR(J3,0)+IFERROR(K3,0)+IFERROR(L3,0),0))</f>
        <v/>
      </c>
      <c r="O3" s="16">
        <f>IF(A3="","",IF(M3=TRUE,IFERROR(H3,0),0))</f>
        <v/>
      </c>
      <c r="P3" s="16">
        <f>IF(A3="","",IF(M3=TRUE,IFERROR(I3,0),0))</f>
        <v/>
      </c>
      <c r="Q3" s="16">
        <f>IF(A3="","",IF(M3=TRUE,IFERROR(J3,0),0))</f>
        <v/>
      </c>
      <c r="R3" s="16">
        <f>IF(A3="","",IF(M3=TRUE,IFERROR(K3,0),0))</f>
        <v/>
      </c>
      <c r="S3" s="16">
        <f>IF(A3="","",IF(M3=TRUE,IFERROR(L3,0),0))</f>
        <v/>
      </c>
      <c r="T3" s="16">
        <f>IF(A3="","",IF(M3=TRUE,IFERROR(H3,0)+IFERROR(I3,0)+IFERROR(L3,0),0))</f>
        <v/>
      </c>
    </row>
    <row r="4">
      <c r="A4" s="10" t="n"/>
      <c r="B4" s="10" t="n"/>
      <c r="C4" s="11" t="n"/>
      <c r="D4" s="11" t="n"/>
      <c r="E4" s="10" t="n"/>
      <c r="F4" s="10" t="n"/>
      <c r="G4" s="12" t="n"/>
      <c r="H4" s="13" t="n"/>
      <c r="I4" s="13" t="n"/>
      <c r="J4" s="13" t="n"/>
      <c r="K4" s="13" t="n"/>
      <c r="L4" s="13" t="n"/>
      <c r="M4" s="17">
        <f>IF(A4="","",IFERROR(VLOOKUP(A4,Raw_CurrentMonth!A:O,15,FALSE)=TRUE,FALSE))</f>
        <v/>
      </c>
      <c r="N4" s="16">
        <f>IF(A4="","",IF(M4=TRUE,IFERROR(H4,0)+IFERROR(I4,0)+IFERROR(J4,0)+IFERROR(K4,0)+IFERROR(L4,0),0))</f>
        <v/>
      </c>
      <c r="O4" s="16">
        <f>IF(A4="","",IF(M4=TRUE,IFERROR(H4,0),0))</f>
        <v/>
      </c>
      <c r="P4" s="16">
        <f>IF(A4="","",IF(M4=TRUE,IFERROR(I4,0),0))</f>
        <v/>
      </c>
      <c r="Q4" s="16">
        <f>IF(A4="","",IF(M4=TRUE,IFERROR(J4,0),0))</f>
        <v/>
      </c>
      <c r="R4" s="16">
        <f>IF(A4="","",IF(M4=TRUE,IFERROR(K4,0),0))</f>
        <v/>
      </c>
      <c r="S4" s="16">
        <f>IF(A4="","",IF(M4=TRUE,IFERROR(L4,0),0))</f>
        <v/>
      </c>
      <c r="T4" s="16">
        <f>IF(A4="","",IF(M4=TRUE,IFERROR(H4,0)+IFERROR(I4,0)+IFERROR(L4,0),0))</f>
        <v/>
      </c>
    </row>
    <row r="5">
      <c r="A5" s="10" t="n"/>
      <c r="B5" s="10" t="n"/>
      <c r="C5" s="11" t="n"/>
      <c r="D5" s="11" t="n"/>
      <c r="E5" s="10" t="n"/>
      <c r="F5" s="10" t="n"/>
      <c r="G5" s="12" t="n"/>
      <c r="H5" s="13" t="n"/>
      <c r="I5" s="13" t="n"/>
      <c r="J5" s="13" t="n"/>
      <c r="K5" s="13" t="n"/>
      <c r="L5" s="13" t="n"/>
      <c r="M5" s="17">
        <f>IF(A5="","",IFERROR(VLOOKUP(A5,Raw_CurrentMonth!A:O,15,FALSE)=TRUE,FALSE))</f>
        <v/>
      </c>
      <c r="N5" s="16">
        <f>IF(A5="","",IF(M5=TRUE,IFERROR(H5,0)+IFERROR(I5,0)+IFERROR(J5,0)+IFERROR(K5,0)+IFERROR(L5,0),0))</f>
        <v/>
      </c>
      <c r="O5" s="16">
        <f>IF(A5="","",IF(M5=TRUE,IFERROR(H5,0),0))</f>
        <v/>
      </c>
      <c r="P5" s="16">
        <f>IF(A5="","",IF(M5=TRUE,IFERROR(I5,0),0))</f>
        <v/>
      </c>
      <c r="Q5" s="16">
        <f>IF(A5="","",IF(M5=TRUE,IFERROR(J5,0),0))</f>
        <v/>
      </c>
      <c r="R5" s="16">
        <f>IF(A5="","",IF(M5=TRUE,IFERROR(K5,0),0))</f>
        <v/>
      </c>
      <c r="S5" s="16">
        <f>IF(A5="","",IF(M5=TRUE,IFERROR(L5,0),0))</f>
        <v/>
      </c>
      <c r="T5" s="16">
        <f>IF(A5="","",IF(M5=TRUE,IFERROR(H5,0)+IFERROR(I5,0)+IFERROR(L5,0),0))</f>
        <v/>
      </c>
    </row>
    <row r="6">
      <c r="A6" s="10" t="n"/>
      <c r="B6" s="10" t="n"/>
      <c r="C6" s="11" t="n"/>
      <c r="D6" s="11" t="n"/>
      <c r="E6" s="10" t="n"/>
      <c r="F6" s="10" t="n"/>
      <c r="G6" s="12" t="n"/>
      <c r="H6" s="13" t="n"/>
      <c r="I6" s="13" t="n"/>
      <c r="J6" s="13" t="n"/>
      <c r="K6" s="13" t="n"/>
      <c r="L6" s="13" t="n"/>
      <c r="M6" s="17">
        <f>IF(A6="","",IFERROR(VLOOKUP(A6,Raw_CurrentMonth!A:O,15,FALSE)=TRUE,FALSE))</f>
        <v/>
      </c>
      <c r="N6" s="16">
        <f>IF(A6="","",IF(M6=TRUE,IFERROR(H6,0)+IFERROR(I6,0)+IFERROR(J6,0)+IFERROR(K6,0)+IFERROR(L6,0),0))</f>
        <v/>
      </c>
      <c r="O6" s="16">
        <f>IF(A6="","",IF(M6=TRUE,IFERROR(H6,0),0))</f>
        <v/>
      </c>
      <c r="P6" s="16">
        <f>IF(A6="","",IF(M6=TRUE,IFERROR(I6,0),0))</f>
        <v/>
      </c>
      <c r="Q6" s="16">
        <f>IF(A6="","",IF(M6=TRUE,IFERROR(J6,0),0))</f>
        <v/>
      </c>
      <c r="R6" s="16">
        <f>IF(A6="","",IF(M6=TRUE,IFERROR(K6,0),0))</f>
        <v/>
      </c>
      <c r="S6" s="16">
        <f>IF(A6="","",IF(M6=TRUE,IFERROR(L6,0),0))</f>
        <v/>
      </c>
      <c r="T6" s="16">
        <f>IF(A6="","",IF(M6=TRUE,IFERROR(H6,0)+IFERROR(I6,0)+IFERROR(L6,0),0))</f>
        <v/>
      </c>
    </row>
    <row r="7">
      <c r="A7" s="10" t="n"/>
      <c r="B7" s="10" t="n"/>
      <c r="C7" s="11" t="n"/>
      <c r="D7" s="11" t="n"/>
      <c r="E7" s="10" t="n"/>
      <c r="F7" s="10" t="n"/>
      <c r="G7" s="12" t="n"/>
      <c r="H7" s="13" t="n"/>
      <c r="I7" s="13" t="n"/>
      <c r="J7" s="13" t="n"/>
      <c r="K7" s="13" t="n"/>
      <c r="L7" s="13" t="n"/>
      <c r="M7" s="17">
        <f>IF(A7="","",IFERROR(VLOOKUP(A7,Raw_CurrentMonth!A:O,15,FALSE)=TRUE,FALSE))</f>
        <v/>
      </c>
      <c r="N7" s="16">
        <f>IF(A7="","",IF(M7=TRUE,IFERROR(H7,0)+IFERROR(I7,0)+IFERROR(J7,0)+IFERROR(K7,0)+IFERROR(L7,0),0))</f>
        <v/>
      </c>
      <c r="O7" s="16">
        <f>IF(A7="","",IF(M7=TRUE,IFERROR(H7,0),0))</f>
        <v/>
      </c>
      <c r="P7" s="16">
        <f>IF(A7="","",IF(M7=TRUE,IFERROR(I7,0),0))</f>
        <v/>
      </c>
      <c r="Q7" s="16">
        <f>IF(A7="","",IF(M7=TRUE,IFERROR(J7,0),0))</f>
        <v/>
      </c>
      <c r="R7" s="16">
        <f>IF(A7="","",IF(M7=TRUE,IFERROR(K7,0),0))</f>
        <v/>
      </c>
      <c r="S7" s="16">
        <f>IF(A7="","",IF(M7=TRUE,IFERROR(L7,0),0))</f>
        <v/>
      </c>
      <c r="T7" s="16">
        <f>IF(A7="","",IF(M7=TRUE,IFERROR(H7,0)+IFERROR(I7,0)+IFERROR(L7,0),0))</f>
        <v/>
      </c>
    </row>
    <row r="8">
      <c r="A8" s="10" t="n"/>
      <c r="B8" s="10" t="n"/>
      <c r="C8" s="11" t="n"/>
      <c r="D8" s="11" t="n"/>
      <c r="E8" s="10" t="n"/>
      <c r="F8" s="10" t="n"/>
      <c r="G8" s="12" t="n"/>
      <c r="H8" s="13" t="n"/>
      <c r="I8" s="13" t="n"/>
      <c r="J8" s="13" t="n"/>
      <c r="K8" s="13" t="n"/>
      <c r="L8" s="13" t="n"/>
      <c r="M8" s="17">
        <f>IF(A8="","",IFERROR(VLOOKUP(A8,Raw_CurrentMonth!A:O,15,FALSE)=TRUE,FALSE))</f>
        <v/>
      </c>
      <c r="N8" s="16">
        <f>IF(A8="","",IF(M8=TRUE,IFERROR(H8,0)+IFERROR(I8,0)+IFERROR(J8,0)+IFERROR(K8,0)+IFERROR(L8,0),0))</f>
        <v/>
      </c>
      <c r="O8" s="16">
        <f>IF(A8="","",IF(M8=TRUE,IFERROR(H8,0),0))</f>
        <v/>
      </c>
      <c r="P8" s="16">
        <f>IF(A8="","",IF(M8=TRUE,IFERROR(I8,0),0))</f>
        <v/>
      </c>
      <c r="Q8" s="16">
        <f>IF(A8="","",IF(M8=TRUE,IFERROR(J8,0),0))</f>
        <v/>
      </c>
      <c r="R8" s="16">
        <f>IF(A8="","",IF(M8=TRUE,IFERROR(K8,0),0))</f>
        <v/>
      </c>
      <c r="S8" s="16">
        <f>IF(A8="","",IF(M8=TRUE,IFERROR(L8,0),0))</f>
        <v/>
      </c>
      <c r="T8" s="16">
        <f>IF(A8="","",IF(M8=TRUE,IFERROR(H8,0)+IFERROR(I8,0)+IFERROR(L8,0),0))</f>
        <v/>
      </c>
    </row>
    <row r="9">
      <c r="A9" s="10" t="n"/>
      <c r="B9" s="10" t="n"/>
      <c r="C9" s="11" t="n"/>
      <c r="D9" s="11" t="n"/>
      <c r="E9" s="10" t="n"/>
      <c r="F9" s="10" t="n"/>
      <c r="G9" s="12" t="n"/>
      <c r="H9" s="13" t="n"/>
      <c r="I9" s="13" t="n"/>
      <c r="J9" s="13" t="n"/>
      <c r="K9" s="13" t="n"/>
      <c r="L9" s="13" t="n"/>
      <c r="M9" s="17">
        <f>IF(A9="","",IFERROR(VLOOKUP(A9,Raw_CurrentMonth!A:O,15,FALSE)=TRUE,FALSE))</f>
        <v/>
      </c>
      <c r="N9" s="16">
        <f>IF(A9="","",IF(M9=TRUE,IFERROR(H9,0)+IFERROR(I9,0)+IFERROR(J9,0)+IFERROR(K9,0)+IFERROR(L9,0),0))</f>
        <v/>
      </c>
      <c r="O9" s="16">
        <f>IF(A9="","",IF(M9=TRUE,IFERROR(H9,0),0))</f>
        <v/>
      </c>
      <c r="P9" s="16">
        <f>IF(A9="","",IF(M9=TRUE,IFERROR(I9,0),0))</f>
        <v/>
      </c>
      <c r="Q9" s="16">
        <f>IF(A9="","",IF(M9=TRUE,IFERROR(J9,0),0))</f>
        <v/>
      </c>
      <c r="R9" s="16">
        <f>IF(A9="","",IF(M9=TRUE,IFERROR(K9,0),0))</f>
        <v/>
      </c>
      <c r="S9" s="16">
        <f>IF(A9="","",IF(M9=TRUE,IFERROR(L9,0),0))</f>
        <v/>
      </c>
      <c r="T9" s="16">
        <f>IF(A9="","",IF(M9=TRUE,IFERROR(H9,0)+IFERROR(I9,0)+IFERROR(L9,0),0))</f>
        <v/>
      </c>
    </row>
    <row r="10">
      <c r="A10" s="10" t="n"/>
      <c r="B10" s="10" t="n"/>
      <c r="C10" s="11" t="n"/>
      <c r="D10" s="11" t="n"/>
      <c r="E10" s="10" t="n"/>
      <c r="F10" s="10" t="n"/>
      <c r="G10" s="12" t="n"/>
      <c r="H10" s="13" t="n"/>
      <c r="I10" s="13" t="n"/>
      <c r="J10" s="13" t="n"/>
      <c r="K10" s="13" t="n"/>
      <c r="L10" s="13" t="n"/>
      <c r="M10" s="17">
        <f>IF(A10="","",IFERROR(VLOOKUP(A10,Raw_CurrentMonth!A:O,15,FALSE)=TRUE,FALSE))</f>
        <v/>
      </c>
      <c r="N10" s="16">
        <f>IF(A10="","",IF(M10=TRUE,IFERROR(H10,0)+IFERROR(I10,0)+IFERROR(J10,0)+IFERROR(K10,0)+IFERROR(L10,0),0))</f>
        <v/>
      </c>
      <c r="O10" s="16">
        <f>IF(A10="","",IF(M10=TRUE,IFERROR(H10,0),0))</f>
        <v/>
      </c>
      <c r="P10" s="16">
        <f>IF(A10="","",IF(M10=TRUE,IFERROR(I10,0),0))</f>
        <v/>
      </c>
      <c r="Q10" s="16">
        <f>IF(A10="","",IF(M10=TRUE,IFERROR(J10,0),0))</f>
        <v/>
      </c>
      <c r="R10" s="16">
        <f>IF(A10="","",IF(M10=TRUE,IFERROR(K10,0),0))</f>
        <v/>
      </c>
      <c r="S10" s="16">
        <f>IF(A10="","",IF(M10=TRUE,IFERROR(L10,0),0))</f>
        <v/>
      </c>
      <c r="T10" s="16">
        <f>IF(A10="","",IF(M10=TRUE,IFERROR(H10,0)+IFERROR(I10,0)+IFERROR(L10,0),0))</f>
        <v/>
      </c>
    </row>
    <row r="11">
      <c r="A11" s="10" t="n"/>
      <c r="B11" s="10" t="n"/>
      <c r="C11" s="11" t="n"/>
      <c r="D11" s="11" t="n"/>
      <c r="E11" s="10" t="n"/>
      <c r="F11" s="10" t="n"/>
      <c r="G11" s="12" t="n"/>
      <c r="H11" s="13" t="n"/>
      <c r="I11" s="13" t="n"/>
      <c r="J11" s="13" t="n"/>
      <c r="K11" s="13" t="n"/>
      <c r="L11" s="13" t="n"/>
      <c r="M11" s="17">
        <f>IF(A11="","",IFERROR(VLOOKUP(A11,Raw_CurrentMonth!A:O,15,FALSE)=TRUE,FALSE))</f>
        <v/>
      </c>
      <c r="N11" s="16">
        <f>IF(A11="","",IF(M11=TRUE,IFERROR(H11,0)+IFERROR(I11,0)+IFERROR(J11,0)+IFERROR(K11,0)+IFERROR(L11,0),0))</f>
        <v/>
      </c>
      <c r="O11" s="16">
        <f>IF(A11="","",IF(M11=TRUE,IFERROR(H11,0),0))</f>
        <v/>
      </c>
      <c r="P11" s="16">
        <f>IF(A11="","",IF(M11=TRUE,IFERROR(I11,0),0))</f>
        <v/>
      </c>
      <c r="Q11" s="16">
        <f>IF(A11="","",IF(M11=TRUE,IFERROR(J11,0),0))</f>
        <v/>
      </c>
      <c r="R11" s="16">
        <f>IF(A11="","",IF(M11=TRUE,IFERROR(K11,0),0))</f>
        <v/>
      </c>
      <c r="S11" s="16">
        <f>IF(A11="","",IF(M11=TRUE,IFERROR(L11,0),0))</f>
        <v/>
      </c>
      <c r="T11" s="16">
        <f>IF(A11="","",IF(M11=TRUE,IFERROR(H11,0)+IFERROR(I11,0)+IFERROR(L11,0),0))</f>
        <v/>
      </c>
    </row>
    <row r="12">
      <c r="A12" s="10" t="n"/>
      <c r="B12" s="10" t="n"/>
      <c r="C12" s="11" t="n"/>
      <c r="D12" s="11" t="n"/>
      <c r="E12" s="10" t="n"/>
      <c r="F12" s="10" t="n"/>
      <c r="G12" s="12" t="n"/>
      <c r="H12" s="13" t="n"/>
      <c r="I12" s="13" t="n"/>
      <c r="J12" s="13" t="n"/>
      <c r="K12" s="13" t="n"/>
      <c r="L12" s="13" t="n"/>
      <c r="M12" s="17">
        <f>IF(A12="","",IFERROR(VLOOKUP(A12,Raw_CurrentMonth!A:O,15,FALSE)=TRUE,FALSE))</f>
        <v/>
      </c>
      <c r="N12" s="16">
        <f>IF(A12="","",IF(M12=TRUE,IFERROR(H12,0)+IFERROR(I12,0)+IFERROR(J12,0)+IFERROR(K12,0)+IFERROR(L12,0),0))</f>
        <v/>
      </c>
      <c r="O12" s="16">
        <f>IF(A12="","",IF(M12=TRUE,IFERROR(H12,0),0))</f>
        <v/>
      </c>
      <c r="P12" s="16">
        <f>IF(A12="","",IF(M12=TRUE,IFERROR(I12,0),0))</f>
        <v/>
      </c>
      <c r="Q12" s="16">
        <f>IF(A12="","",IF(M12=TRUE,IFERROR(J12,0),0))</f>
        <v/>
      </c>
      <c r="R12" s="16">
        <f>IF(A12="","",IF(M12=TRUE,IFERROR(K12,0),0))</f>
        <v/>
      </c>
      <c r="S12" s="16">
        <f>IF(A12="","",IF(M12=TRUE,IFERROR(L12,0),0))</f>
        <v/>
      </c>
      <c r="T12" s="16">
        <f>IF(A12="","",IF(M12=TRUE,IFERROR(H12,0)+IFERROR(I12,0)+IFERROR(L12,0),0))</f>
        <v/>
      </c>
    </row>
    <row r="13">
      <c r="A13" s="10" t="n"/>
      <c r="B13" s="10" t="n"/>
      <c r="C13" s="11" t="n"/>
      <c r="D13" s="11" t="n"/>
      <c r="E13" s="10" t="n"/>
      <c r="F13" s="10" t="n"/>
      <c r="G13" s="12" t="n"/>
      <c r="H13" s="13" t="n"/>
      <c r="I13" s="13" t="n"/>
      <c r="J13" s="13" t="n"/>
      <c r="K13" s="13" t="n"/>
      <c r="L13" s="13" t="n"/>
      <c r="M13" s="17">
        <f>IF(A13="","",IFERROR(VLOOKUP(A13,Raw_CurrentMonth!A:O,15,FALSE)=TRUE,FALSE))</f>
        <v/>
      </c>
      <c r="N13" s="16">
        <f>IF(A13="","",IF(M13=TRUE,IFERROR(H13,0)+IFERROR(I13,0)+IFERROR(J13,0)+IFERROR(K13,0)+IFERROR(L13,0),0))</f>
        <v/>
      </c>
      <c r="O13" s="16">
        <f>IF(A13="","",IF(M13=TRUE,IFERROR(H13,0),0))</f>
        <v/>
      </c>
      <c r="P13" s="16">
        <f>IF(A13="","",IF(M13=TRUE,IFERROR(I13,0),0))</f>
        <v/>
      </c>
      <c r="Q13" s="16">
        <f>IF(A13="","",IF(M13=TRUE,IFERROR(J13,0),0))</f>
        <v/>
      </c>
      <c r="R13" s="16">
        <f>IF(A13="","",IF(M13=TRUE,IFERROR(K13,0),0))</f>
        <v/>
      </c>
      <c r="S13" s="16">
        <f>IF(A13="","",IF(M13=TRUE,IFERROR(L13,0),0))</f>
        <v/>
      </c>
      <c r="T13" s="16">
        <f>IF(A13="","",IF(M13=TRUE,IFERROR(H13,0)+IFERROR(I13,0)+IFERROR(L13,0),0))</f>
        <v/>
      </c>
    </row>
    <row r="14">
      <c r="A14" s="10" t="n"/>
      <c r="B14" s="10" t="n"/>
      <c r="C14" s="11" t="n"/>
      <c r="D14" s="11" t="n"/>
      <c r="E14" s="10" t="n"/>
      <c r="F14" s="10" t="n"/>
      <c r="G14" s="12" t="n"/>
      <c r="H14" s="13" t="n"/>
      <c r="I14" s="13" t="n"/>
      <c r="J14" s="13" t="n"/>
      <c r="K14" s="13" t="n"/>
      <c r="L14" s="13" t="n"/>
      <c r="M14" s="17">
        <f>IF(A14="","",IFERROR(VLOOKUP(A14,Raw_CurrentMonth!A:O,15,FALSE)=TRUE,FALSE))</f>
        <v/>
      </c>
      <c r="N14" s="16">
        <f>IF(A14="","",IF(M14=TRUE,IFERROR(H14,0)+IFERROR(I14,0)+IFERROR(J14,0)+IFERROR(K14,0)+IFERROR(L14,0),0))</f>
        <v/>
      </c>
      <c r="O14" s="16">
        <f>IF(A14="","",IF(M14=TRUE,IFERROR(H14,0),0))</f>
        <v/>
      </c>
      <c r="P14" s="16">
        <f>IF(A14="","",IF(M14=TRUE,IFERROR(I14,0),0))</f>
        <v/>
      </c>
      <c r="Q14" s="16">
        <f>IF(A14="","",IF(M14=TRUE,IFERROR(J14,0),0))</f>
        <v/>
      </c>
      <c r="R14" s="16">
        <f>IF(A14="","",IF(M14=TRUE,IFERROR(K14,0),0))</f>
        <v/>
      </c>
      <c r="S14" s="16">
        <f>IF(A14="","",IF(M14=TRUE,IFERROR(L14,0),0))</f>
        <v/>
      </c>
      <c r="T14" s="16">
        <f>IF(A14="","",IF(M14=TRUE,IFERROR(H14,0)+IFERROR(I14,0)+IFERROR(L14,0),0))</f>
        <v/>
      </c>
    </row>
    <row r="15">
      <c r="A15" s="10" t="n"/>
      <c r="B15" s="10" t="n"/>
      <c r="C15" s="11" t="n"/>
      <c r="D15" s="11" t="n"/>
      <c r="E15" s="10" t="n"/>
      <c r="F15" s="10" t="n"/>
      <c r="G15" s="12" t="n"/>
      <c r="H15" s="13" t="n"/>
      <c r="I15" s="13" t="n"/>
      <c r="J15" s="13" t="n"/>
      <c r="K15" s="13" t="n"/>
      <c r="L15" s="13" t="n"/>
      <c r="M15" s="17">
        <f>IF(A15="","",IFERROR(VLOOKUP(A15,Raw_CurrentMonth!A:O,15,FALSE)=TRUE,FALSE))</f>
        <v/>
      </c>
      <c r="N15" s="16">
        <f>IF(A15="","",IF(M15=TRUE,IFERROR(H15,0)+IFERROR(I15,0)+IFERROR(J15,0)+IFERROR(K15,0)+IFERROR(L15,0),0))</f>
        <v/>
      </c>
      <c r="O15" s="16">
        <f>IF(A15="","",IF(M15=TRUE,IFERROR(H15,0),0))</f>
        <v/>
      </c>
      <c r="P15" s="16">
        <f>IF(A15="","",IF(M15=TRUE,IFERROR(I15,0),0))</f>
        <v/>
      </c>
      <c r="Q15" s="16">
        <f>IF(A15="","",IF(M15=TRUE,IFERROR(J15,0),0))</f>
        <v/>
      </c>
      <c r="R15" s="16">
        <f>IF(A15="","",IF(M15=TRUE,IFERROR(K15,0),0))</f>
        <v/>
      </c>
      <c r="S15" s="16">
        <f>IF(A15="","",IF(M15=TRUE,IFERROR(L15,0),0))</f>
        <v/>
      </c>
      <c r="T15" s="16">
        <f>IF(A15="","",IF(M15=TRUE,IFERROR(H15,0)+IFERROR(I15,0)+IFERROR(L15,0),0))</f>
        <v/>
      </c>
    </row>
    <row r="16">
      <c r="A16" s="10" t="n"/>
      <c r="B16" s="10" t="n"/>
      <c r="C16" s="11" t="n"/>
      <c r="D16" s="11" t="n"/>
      <c r="E16" s="10" t="n"/>
      <c r="F16" s="10" t="n"/>
      <c r="G16" s="12" t="n"/>
      <c r="H16" s="13" t="n"/>
      <c r="I16" s="13" t="n"/>
      <c r="J16" s="13" t="n"/>
      <c r="K16" s="13" t="n"/>
      <c r="L16" s="13" t="n"/>
      <c r="M16" s="17">
        <f>IF(A16="","",IFERROR(VLOOKUP(A16,Raw_CurrentMonth!A:O,15,FALSE)=TRUE,FALSE))</f>
        <v/>
      </c>
      <c r="N16" s="16">
        <f>IF(A16="","",IF(M16=TRUE,IFERROR(H16,0)+IFERROR(I16,0)+IFERROR(J16,0)+IFERROR(K16,0)+IFERROR(L16,0),0))</f>
        <v/>
      </c>
      <c r="O16" s="16">
        <f>IF(A16="","",IF(M16=TRUE,IFERROR(H16,0),0))</f>
        <v/>
      </c>
      <c r="P16" s="16">
        <f>IF(A16="","",IF(M16=TRUE,IFERROR(I16,0),0))</f>
        <v/>
      </c>
      <c r="Q16" s="16">
        <f>IF(A16="","",IF(M16=TRUE,IFERROR(J16,0),0))</f>
        <v/>
      </c>
      <c r="R16" s="16">
        <f>IF(A16="","",IF(M16=TRUE,IFERROR(K16,0),0))</f>
        <v/>
      </c>
      <c r="S16" s="16">
        <f>IF(A16="","",IF(M16=TRUE,IFERROR(L16,0),0))</f>
        <v/>
      </c>
      <c r="T16" s="16">
        <f>IF(A16="","",IF(M16=TRUE,IFERROR(H16,0)+IFERROR(I16,0)+IFERROR(L16,0),0))</f>
        <v/>
      </c>
    </row>
    <row r="17">
      <c r="A17" s="10" t="n"/>
      <c r="B17" s="10" t="n"/>
      <c r="C17" s="11" t="n"/>
      <c r="D17" s="11" t="n"/>
      <c r="E17" s="10" t="n"/>
      <c r="F17" s="10" t="n"/>
      <c r="G17" s="12" t="n"/>
      <c r="H17" s="13" t="n"/>
      <c r="I17" s="13" t="n"/>
      <c r="J17" s="13" t="n"/>
      <c r="K17" s="13" t="n"/>
      <c r="L17" s="13" t="n"/>
      <c r="M17" s="17">
        <f>IF(A17="","",IFERROR(VLOOKUP(A17,Raw_CurrentMonth!A:O,15,FALSE)=TRUE,FALSE))</f>
        <v/>
      </c>
      <c r="N17" s="16">
        <f>IF(A17="","",IF(M17=TRUE,IFERROR(H17,0)+IFERROR(I17,0)+IFERROR(J17,0)+IFERROR(K17,0)+IFERROR(L17,0),0))</f>
        <v/>
      </c>
      <c r="O17" s="16">
        <f>IF(A17="","",IF(M17=TRUE,IFERROR(H17,0),0))</f>
        <v/>
      </c>
      <c r="P17" s="16">
        <f>IF(A17="","",IF(M17=TRUE,IFERROR(I17,0),0))</f>
        <v/>
      </c>
      <c r="Q17" s="16">
        <f>IF(A17="","",IF(M17=TRUE,IFERROR(J17,0),0))</f>
        <v/>
      </c>
      <c r="R17" s="16">
        <f>IF(A17="","",IF(M17=TRUE,IFERROR(K17,0),0))</f>
        <v/>
      </c>
      <c r="S17" s="16">
        <f>IF(A17="","",IF(M17=TRUE,IFERROR(L17,0),0))</f>
        <v/>
      </c>
      <c r="T17" s="16">
        <f>IF(A17="","",IF(M17=TRUE,IFERROR(H17,0)+IFERROR(I17,0)+IFERROR(L17,0),0))</f>
        <v/>
      </c>
    </row>
    <row r="18">
      <c r="A18" s="10" t="n"/>
      <c r="B18" s="10" t="n"/>
      <c r="C18" s="11" t="n"/>
      <c r="D18" s="11" t="n"/>
      <c r="E18" s="10" t="n"/>
      <c r="F18" s="10" t="n"/>
      <c r="G18" s="12" t="n"/>
      <c r="H18" s="13" t="n"/>
      <c r="I18" s="13" t="n"/>
      <c r="J18" s="13" t="n"/>
      <c r="K18" s="13" t="n"/>
      <c r="L18" s="13" t="n"/>
      <c r="M18" s="17">
        <f>IF(A18="","",IFERROR(VLOOKUP(A18,Raw_CurrentMonth!A:O,15,FALSE)=TRUE,FALSE))</f>
        <v/>
      </c>
      <c r="N18" s="16">
        <f>IF(A18="","",IF(M18=TRUE,IFERROR(H18,0)+IFERROR(I18,0)+IFERROR(J18,0)+IFERROR(K18,0)+IFERROR(L18,0),0))</f>
        <v/>
      </c>
      <c r="O18" s="16">
        <f>IF(A18="","",IF(M18=TRUE,IFERROR(H18,0),0))</f>
        <v/>
      </c>
      <c r="P18" s="16">
        <f>IF(A18="","",IF(M18=TRUE,IFERROR(I18,0),0))</f>
        <v/>
      </c>
      <c r="Q18" s="16">
        <f>IF(A18="","",IF(M18=TRUE,IFERROR(J18,0),0))</f>
        <v/>
      </c>
      <c r="R18" s="16">
        <f>IF(A18="","",IF(M18=TRUE,IFERROR(K18,0),0))</f>
        <v/>
      </c>
      <c r="S18" s="16">
        <f>IF(A18="","",IF(M18=TRUE,IFERROR(L18,0),0))</f>
        <v/>
      </c>
      <c r="T18" s="16">
        <f>IF(A18="","",IF(M18=TRUE,IFERROR(H18,0)+IFERROR(I18,0)+IFERROR(L18,0),0))</f>
        <v/>
      </c>
    </row>
    <row r="19">
      <c r="A19" s="10" t="n"/>
      <c r="B19" s="10" t="n"/>
      <c r="C19" s="11" t="n"/>
      <c r="D19" s="11" t="n"/>
      <c r="E19" s="10" t="n"/>
      <c r="F19" s="10" t="n"/>
      <c r="G19" s="12" t="n"/>
      <c r="H19" s="13" t="n"/>
      <c r="I19" s="13" t="n"/>
      <c r="J19" s="13" t="n"/>
      <c r="K19" s="13" t="n"/>
      <c r="L19" s="13" t="n"/>
      <c r="M19" s="17">
        <f>IF(A19="","",IFERROR(VLOOKUP(A19,Raw_CurrentMonth!A:O,15,FALSE)=TRUE,FALSE))</f>
        <v/>
      </c>
      <c r="N19" s="16">
        <f>IF(A19="","",IF(M19=TRUE,IFERROR(H19,0)+IFERROR(I19,0)+IFERROR(J19,0)+IFERROR(K19,0)+IFERROR(L19,0),0))</f>
        <v/>
      </c>
      <c r="O19" s="16">
        <f>IF(A19="","",IF(M19=TRUE,IFERROR(H19,0),0))</f>
        <v/>
      </c>
      <c r="P19" s="16">
        <f>IF(A19="","",IF(M19=TRUE,IFERROR(I19,0),0))</f>
        <v/>
      </c>
      <c r="Q19" s="16">
        <f>IF(A19="","",IF(M19=TRUE,IFERROR(J19,0),0))</f>
        <v/>
      </c>
      <c r="R19" s="16">
        <f>IF(A19="","",IF(M19=TRUE,IFERROR(K19,0),0))</f>
        <v/>
      </c>
      <c r="S19" s="16">
        <f>IF(A19="","",IF(M19=TRUE,IFERROR(L19,0),0))</f>
        <v/>
      </c>
      <c r="T19" s="16">
        <f>IF(A19="","",IF(M19=TRUE,IFERROR(H19,0)+IFERROR(I19,0)+IFERROR(L19,0),0))</f>
        <v/>
      </c>
    </row>
    <row r="20">
      <c r="A20" s="10" t="n"/>
      <c r="B20" s="10" t="n"/>
      <c r="C20" s="11" t="n"/>
      <c r="D20" s="11" t="n"/>
      <c r="E20" s="10" t="n"/>
      <c r="F20" s="10" t="n"/>
      <c r="G20" s="12" t="n"/>
      <c r="H20" s="13" t="n"/>
      <c r="I20" s="13" t="n"/>
      <c r="J20" s="13" t="n"/>
      <c r="K20" s="13" t="n"/>
      <c r="L20" s="13" t="n"/>
      <c r="M20" s="17">
        <f>IF(A20="","",IFERROR(VLOOKUP(A20,Raw_CurrentMonth!A:O,15,FALSE)=TRUE,FALSE))</f>
        <v/>
      </c>
      <c r="N20" s="16">
        <f>IF(A20="","",IF(M20=TRUE,IFERROR(H20,0)+IFERROR(I20,0)+IFERROR(J20,0)+IFERROR(K20,0)+IFERROR(L20,0),0))</f>
        <v/>
      </c>
      <c r="O20" s="16">
        <f>IF(A20="","",IF(M20=TRUE,IFERROR(H20,0),0))</f>
        <v/>
      </c>
      <c r="P20" s="16">
        <f>IF(A20="","",IF(M20=TRUE,IFERROR(I20,0),0))</f>
        <v/>
      </c>
      <c r="Q20" s="16">
        <f>IF(A20="","",IF(M20=TRUE,IFERROR(J20,0),0))</f>
        <v/>
      </c>
      <c r="R20" s="16">
        <f>IF(A20="","",IF(M20=TRUE,IFERROR(K20,0),0))</f>
        <v/>
      </c>
      <c r="S20" s="16">
        <f>IF(A20="","",IF(M20=TRUE,IFERROR(L20,0),0))</f>
        <v/>
      </c>
      <c r="T20" s="16">
        <f>IF(A20="","",IF(M20=TRUE,IFERROR(H20,0)+IFERROR(I20,0)+IFERROR(L20,0),0))</f>
        <v/>
      </c>
    </row>
    <row r="21">
      <c r="A21" s="10" t="n"/>
      <c r="B21" s="10" t="n"/>
      <c r="C21" s="11" t="n"/>
      <c r="D21" s="11" t="n"/>
      <c r="E21" s="10" t="n"/>
      <c r="F21" s="10" t="n"/>
      <c r="G21" s="12" t="n"/>
      <c r="H21" s="13" t="n"/>
      <c r="I21" s="13" t="n"/>
      <c r="J21" s="13" t="n"/>
      <c r="K21" s="13" t="n"/>
      <c r="L21" s="13" t="n"/>
      <c r="M21" s="17">
        <f>IF(A21="","",IFERROR(VLOOKUP(A21,Raw_CurrentMonth!A:O,15,FALSE)=TRUE,FALSE))</f>
        <v/>
      </c>
      <c r="N21" s="16">
        <f>IF(A21="","",IF(M21=TRUE,IFERROR(H21,0)+IFERROR(I21,0)+IFERROR(J21,0)+IFERROR(K21,0)+IFERROR(L21,0),0))</f>
        <v/>
      </c>
      <c r="O21" s="16">
        <f>IF(A21="","",IF(M21=TRUE,IFERROR(H21,0),0))</f>
        <v/>
      </c>
      <c r="P21" s="16">
        <f>IF(A21="","",IF(M21=TRUE,IFERROR(I21,0),0))</f>
        <v/>
      </c>
      <c r="Q21" s="16">
        <f>IF(A21="","",IF(M21=TRUE,IFERROR(J21,0),0))</f>
        <v/>
      </c>
      <c r="R21" s="16">
        <f>IF(A21="","",IF(M21=TRUE,IFERROR(K21,0),0))</f>
        <v/>
      </c>
      <c r="S21" s="16">
        <f>IF(A21="","",IF(M21=TRUE,IFERROR(L21,0),0))</f>
        <v/>
      </c>
      <c r="T21" s="16">
        <f>IF(A21="","",IF(M21=TRUE,IFERROR(H21,0)+IFERROR(I21,0)+IFERROR(L21,0),0))</f>
        <v/>
      </c>
    </row>
    <row r="22">
      <c r="A22" s="10" t="n"/>
      <c r="B22" s="10" t="n"/>
      <c r="C22" s="11" t="n"/>
      <c r="D22" s="11" t="n"/>
      <c r="E22" s="10" t="n"/>
      <c r="F22" s="10" t="n"/>
      <c r="G22" s="12" t="n"/>
      <c r="H22" s="13" t="n"/>
      <c r="I22" s="13" t="n"/>
      <c r="J22" s="13" t="n"/>
      <c r="K22" s="13" t="n"/>
      <c r="L22" s="13" t="n"/>
      <c r="M22" s="17">
        <f>IF(A22="","",IFERROR(VLOOKUP(A22,Raw_CurrentMonth!A:O,15,FALSE)=TRUE,FALSE))</f>
        <v/>
      </c>
      <c r="N22" s="16">
        <f>IF(A22="","",IF(M22=TRUE,IFERROR(H22,0)+IFERROR(I22,0)+IFERROR(J22,0)+IFERROR(K22,0)+IFERROR(L22,0),0))</f>
        <v/>
      </c>
      <c r="O22" s="16">
        <f>IF(A22="","",IF(M22=TRUE,IFERROR(H22,0),0))</f>
        <v/>
      </c>
      <c r="P22" s="16">
        <f>IF(A22="","",IF(M22=TRUE,IFERROR(I22,0),0))</f>
        <v/>
      </c>
      <c r="Q22" s="16">
        <f>IF(A22="","",IF(M22=TRUE,IFERROR(J22,0),0))</f>
        <v/>
      </c>
      <c r="R22" s="16">
        <f>IF(A22="","",IF(M22=TRUE,IFERROR(K22,0),0))</f>
        <v/>
      </c>
      <c r="S22" s="16">
        <f>IF(A22="","",IF(M22=TRUE,IFERROR(L22,0),0))</f>
        <v/>
      </c>
      <c r="T22" s="16">
        <f>IF(A22="","",IF(M22=TRUE,IFERROR(H22,0)+IFERROR(I22,0)+IFERROR(L22,0),0))</f>
        <v/>
      </c>
    </row>
    <row r="23">
      <c r="A23" s="10" t="n"/>
      <c r="B23" s="10" t="n"/>
      <c r="C23" s="11" t="n"/>
      <c r="D23" s="11" t="n"/>
      <c r="E23" s="10" t="n"/>
      <c r="F23" s="10" t="n"/>
      <c r="G23" s="12" t="n"/>
      <c r="H23" s="13" t="n"/>
      <c r="I23" s="13" t="n"/>
      <c r="J23" s="13" t="n"/>
      <c r="K23" s="13" t="n"/>
      <c r="L23" s="13" t="n"/>
      <c r="M23" s="17">
        <f>IF(A23="","",IFERROR(VLOOKUP(A23,Raw_CurrentMonth!A:O,15,FALSE)=TRUE,FALSE))</f>
        <v/>
      </c>
      <c r="N23" s="16">
        <f>IF(A23="","",IF(M23=TRUE,IFERROR(H23,0)+IFERROR(I23,0)+IFERROR(J23,0)+IFERROR(K23,0)+IFERROR(L23,0),0))</f>
        <v/>
      </c>
      <c r="O23" s="16">
        <f>IF(A23="","",IF(M23=TRUE,IFERROR(H23,0),0))</f>
        <v/>
      </c>
      <c r="P23" s="16">
        <f>IF(A23="","",IF(M23=TRUE,IFERROR(I23,0),0))</f>
        <v/>
      </c>
      <c r="Q23" s="16">
        <f>IF(A23="","",IF(M23=TRUE,IFERROR(J23,0),0))</f>
        <v/>
      </c>
      <c r="R23" s="16">
        <f>IF(A23="","",IF(M23=TRUE,IFERROR(K23,0),0))</f>
        <v/>
      </c>
      <c r="S23" s="16">
        <f>IF(A23="","",IF(M23=TRUE,IFERROR(L23,0),0))</f>
        <v/>
      </c>
      <c r="T23" s="16">
        <f>IF(A23="","",IF(M23=TRUE,IFERROR(H23,0)+IFERROR(I23,0)+IFERROR(L23,0),0))</f>
        <v/>
      </c>
    </row>
    <row r="24">
      <c r="A24" s="10" t="n"/>
      <c r="B24" s="10" t="n"/>
      <c r="C24" s="11" t="n"/>
      <c r="D24" s="11" t="n"/>
      <c r="E24" s="10" t="n"/>
      <c r="F24" s="10" t="n"/>
      <c r="G24" s="12" t="n"/>
      <c r="H24" s="13" t="n"/>
      <c r="I24" s="13" t="n"/>
      <c r="J24" s="13" t="n"/>
      <c r="K24" s="13" t="n"/>
      <c r="L24" s="13" t="n"/>
      <c r="M24" s="17">
        <f>IF(A24="","",IFERROR(VLOOKUP(A24,Raw_CurrentMonth!A:O,15,FALSE)=TRUE,FALSE))</f>
        <v/>
      </c>
      <c r="N24" s="16">
        <f>IF(A24="","",IF(M24=TRUE,IFERROR(H24,0)+IFERROR(I24,0)+IFERROR(J24,0)+IFERROR(K24,0)+IFERROR(L24,0),0))</f>
        <v/>
      </c>
      <c r="O24" s="16">
        <f>IF(A24="","",IF(M24=TRUE,IFERROR(H24,0),0))</f>
        <v/>
      </c>
      <c r="P24" s="16">
        <f>IF(A24="","",IF(M24=TRUE,IFERROR(I24,0),0))</f>
        <v/>
      </c>
      <c r="Q24" s="16">
        <f>IF(A24="","",IF(M24=TRUE,IFERROR(J24,0),0))</f>
        <v/>
      </c>
      <c r="R24" s="16">
        <f>IF(A24="","",IF(M24=TRUE,IFERROR(K24,0),0))</f>
        <v/>
      </c>
      <c r="S24" s="16">
        <f>IF(A24="","",IF(M24=TRUE,IFERROR(L24,0),0))</f>
        <v/>
      </c>
      <c r="T24" s="16">
        <f>IF(A24="","",IF(M24=TRUE,IFERROR(H24,0)+IFERROR(I24,0)+IFERROR(L24,0),0))</f>
        <v/>
      </c>
    </row>
    <row r="25">
      <c r="A25" s="10" t="n"/>
      <c r="B25" s="10" t="n"/>
      <c r="C25" s="11" t="n"/>
      <c r="D25" s="11" t="n"/>
      <c r="E25" s="10" t="n"/>
      <c r="F25" s="10" t="n"/>
      <c r="G25" s="12" t="n"/>
      <c r="H25" s="13" t="n"/>
      <c r="I25" s="13" t="n"/>
      <c r="J25" s="13" t="n"/>
      <c r="K25" s="13" t="n"/>
      <c r="L25" s="13" t="n"/>
      <c r="M25" s="17">
        <f>IF(A25="","",IFERROR(VLOOKUP(A25,Raw_CurrentMonth!A:O,15,FALSE)=TRUE,FALSE))</f>
        <v/>
      </c>
      <c r="N25" s="16">
        <f>IF(A25="","",IF(M25=TRUE,IFERROR(H25,0)+IFERROR(I25,0)+IFERROR(J25,0)+IFERROR(K25,0)+IFERROR(L25,0),0))</f>
        <v/>
      </c>
      <c r="O25" s="16">
        <f>IF(A25="","",IF(M25=TRUE,IFERROR(H25,0),0))</f>
        <v/>
      </c>
      <c r="P25" s="16">
        <f>IF(A25="","",IF(M25=TRUE,IFERROR(I25,0),0))</f>
        <v/>
      </c>
      <c r="Q25" s="16">
        <f>IF(A25="","",IF(M25=TRUE,IFERROR(J25,0),0))</f>
        <v/>
      </c>
      <c r="R25" s="16">
        <f>IF(A25="","",IF(M25=TRUE,IFERROR(K25,0),0))</f>
        <v/>
      </c>
      <c r="S25" s="16">
        <f>IF(A25="","",IF(M25=TRUE,IFERROR(L25,0),0))</f>
        <v/>
      </c>
      <c r="T25" s="16">
        <f>IF(A25="","",IF(M25=TRUE,IFERROR(H25,0)+IFERROR(I25,0)+IFERROR(L25,0),0))</f>
        <v/>
      </c>
    </row>
    <row r="26">
      <c r="A26" s="10" t="n"/>
      <c r="B26" s="10" t="n"/>
      <c r="C26" s="11" t="n"/>
      <c r="D26" s="11" t="n"/>
      <c r="E26" s="10" t="n"/>
      <c r="F26" s="10" t="n"/>
      <c r="G26" s="12" t="n"/>
      <c r="H26" s="13" t="n"/>
      <c r="I26" s="13" t="n"/>
      <c r="J26" s="13" t="n"/>
      <c r="K26" s="13" t="n"/>
      <c r="L26" s="13" t="n"/>
      <c r="M26" s="17">
        <f>IF(A26="","",IFERROR(VLOOKUP(A26,Raw_CurrentMonth!A:O,15,FALSE)=TRUE,FALSE))</f>
        <v/>
      </c>
      <c r="N26" s="16">
        <f>IF(A26="","",IF(M26=TRUE,IFERROR(H26,0)+IFERROR(I26,0)+IFERROR(J26,0)+IFERROR(K26,0)+IFERROR(L26,0),0))</f>
        <v/>
      </c>
      <c r="O26" s="16">
        <f>IF(A26="","",IF(M26=TRUE,IFERROR(H26,0),0))</f>
        <v/>
      </c>
      <c r="P26" s="16">
        <f>IF(A26="","",IF(M26=TRUE,IFERROR(I26,0),0))</f>
        <v/>
      </c>
      <c r="Q26" s="16">
        <f>IF(A26="","",IF(M26=TRUE,IFERROR(J26,0),0))</f>
        <v/>
      </c>
      <c r="R26" s="16">
        <f>IF(A26="","",IF(M26=TRUE,IFERROR(K26,0),0))</f>
        <v/>
      </c>
      <c r="S26" s="16">
        <f>IF(A26="","",IF(M26=TRUE,IFERROR(L26,0),0))</f>
        <v/>
      </c>
      <c r="T26" s="16">
        <f>IF(A26="","",IF(M26=TRUE,IFERROR(H26,0)+IFERROR(I26,0)+IFERROR(L26,0),0))</f>
        <v/>
      </c>
    </row>
    <row r="27">
      <c r="A27" s="10" t="n"/>
      <c r="B27" s="10" t="n"/>
      <c r="C27" s="11" t="n"/>
      <c r="D27" s="11" t="n"/>
      <c r="E27" s="10" t="n"/>
      <c r="F27" s="10" t="n"/>
      <c r="G27" s="12" t="n"/>
      <c r="H27" s="13" t="n"/>
      <c r="I27" s="13" t="n"/>
      <c r="J27" s="13" t="n"/>
      <c r="K27" s="13" t="n"/>
      <c r="L27" s="13" t="n"/>
      <c r="M27" s="17">
        <f>IF(A27="","",IFERROR(VLOOKUP(A27,Raw_CurrentMonth!A:O,15,FALSE)=TRUE,FALSE))</f>
        <v/>
      </c>
      <c r="N27" s="16">
        <f>IF(A27="","",IF(M27=TRUE,IFERROR(H27,0)+IFERROR(I27,0)+IFERROR(J27,0)+IFERROR(K27,0)+IFERROR(L27,0),0))</f>
        <v/>
      </c>
      <c r="O27" s="16">
        <f>IF(A27="","",IF(M27=TRUE,IFERROR(H27,0),0))</f>
        <v/>
      </c>
      <c r="P27" s="16">
        <f>IF(A27="","",IF(M27=TRUE,IFERROR(I27,0),0))</f>
        <v/>
      </c>
      <c r="Q27" s="16">
        <f>IF(A27="","",IF(M27=TRUE,IFERROR(J27,0),0))</f>
        <v/>
      </c>
      <c r="R27" s="16">
        <f>IF(A27="","",IF(M27=TRUE,IFERROR(K27,0),0))</f>
        <v/>
      </c>
      <c r="S27" s="16">
        <f>IF(A27="","",IF(M27=TRUE,IFERROR(L27,0),0))</f>
        <v/>
      </c>
      <c r="T27" s="16">
        <f>IF(A27="","",IF(M27=TRUE,IFERROR(H27,0)+IFERROR(I27,0)+IFERROR(L27,0),0))</f>
        <v/>
      </c>
    </row>
    <row r="28">
      <c r="A28" s="10" t="n"/>
      <c r="B28" s="10" t="n"/>
      <c r="C28" s="11" t="n"/>
      <c r="D28" s="11" t="n"/>
      <c r="E28" s="10" t="n"/>
      <c r="F28" s="10" t="n"/>
      <c r="G28" s="12" t="n"/>
      <c r="H28" s="13" t="n"/>
      <c r="I28" s="13" t="n"/>
      <c r="J28" s="13" t="n"/>
      <c r="K28" s="13" t="n"/>
      <c r="L28" s="13" t="n"/>
      <c r="M28" s="17">
        <f>IF(A28="","",IFERROR(VLOOKUP(A28,Raw_CurrentMonth!A:O,15,FALSE)=TRUE,FALSE))</f>
        <v/>
      </c>
      <c r="N28" s="16">
        <f>IF(A28="","",IF(M28=TRUE,IFERROR(H28,0)+IFERROR(I28,0)+IFERROR(J28,0)+IFERROR(K28,0)+IFERROR(L28,0),0))</f>
        <v/>
      </c>
      <c r="O28" s="16">
        <f>IF(A28="","",IF(M28=TRUE,IFERROR(H28,0),0))</f>
        <v/>
      </c>
      <c r="P28" s="16">
        <f>IF(A28="","",IF(M28=TRUE,IFERROR(I28,0),0))</f>
        <v/>
      </c>
      <c r="Q28" s="16">
        <f>IF(A28="","",IF(M28=TRUE,IFERROR(J28,0),0))</f>
        <v/>
      </c>
      <c r="R28" s="16">
        <f>IF(A28="","",IF(M28=TRUE,IFERROR(K28,0),0))</f>
        <v/>
      </c>
      <c r="S28" s="16">
        <f>IF(A28="","",IF(M28=TRUE,IFERROR(L28,0),0))</f>
        <v/>
      </c>
      <c r="T28" s="16">
        <f>IF(A28="","",IF(M28=TRUE,IFERROR(H28,0)+IFERROR(I28,0)+IFERROR(L28,0),0))</f>
        <v/>
      </c>
    </row>
    <row r="29">
      <c r="A29" s="10" t="n"/>
      <c r="B29" s="10" t="n"/>
      <c r="C29" s="11" t="n"/>
      <c r="D29" s="11" t="n"/>
      <c r="E29" s="10" t="n"/>
      <c r="F29" s="10" t="n"/>
      <c r="G29" s="12" t="n"/>
      <c r="H29" s="13" t="n"/>
      <c r="I29" s="13" t="n"/>
      <c r="J29" s="13" t="n"/>
      <c r="K29" s="13" t="n"/>
      <c r="L29" s="13" t="n"/>
      <c r="M29" s="17">
        <f>IF(A29="","",IFERROR(VLOOKUP(A29,Raw_CurrentMonth!A:O,15,FALSE)=TRUE,FALSE))</f>
        <v/>
      </c>
      <c r="N29" s="16">
        <f>IF(A29="","",IF(M29=TRUE,IFERROR(H29,0)+IFERROR(I29,0)+IFERROR(J29,0)+IFERROR(K29,0)+IFERROR(L29,0),0))</f>
        <v/>
      </c>
      <c r="O29" s="16">
        <f>IF(A29="","",IF(M29=TRUE,IFERROR(H29,0),0))</f>
        <v/>
      </c>
      <c r="P29" s="16">
        <f>IF(A29="","",IF(M29=TRUE,IFERROR(I29,0),0))</f>
        <v/>
      </c>
      <c r="Q29" s="16">
        <f>IF(A29="","",IF(M29=TRUE,IFERROR(J29,0),0))</f>
        <v/>
      </c>
      <c r="R29" s="16">
        <f>IF(A29="","",IF(M29=TRUE,IFERROR(K29,0),0))</f>
        <v/>
      </c>
      <c r="S29" s="16">
        <f>IF(A29="","",IF(M29=TRUE,IFERROR(L29,0),0))</f>
        <v/>
      </c>
      <c r="T29" s="16">
        <f>IF(A29="","",IF(M29=TRUE,IFERROR(H29,0)+IFERROR(I29,0)+IFERROR(L29,0),0))</f>
        <v/>
      </c>
    </row>
    <row r="30">
      <c r="A30" s="10" t="n"/>
      <c r="B30" s="10" t="n"/>
      <c r="C30" s="11" t="n"/>
      <c r="D30" s="11" t="n"/>
      <c r="E30" s="10" t="n"/>
      <c r="F30" s="10" t="n"/>
      <c r="G30" s="12" t="n"/>
      <c r="H30" s="13" t="n"/>
      <c r="I30" s="13" t="n"/>
      <c r="J30" s="13" t="n"/>
      <c r="K30" s="13" t="n"/>
      <c r="L30" s="13" t="n"/>
      <c r="M30" s="17">
        <f>IF(A30="","",IFERROR(VLOOKUP(A30,Raw_CurrentMonth!A:O,15,FALSE)=TRUE,FALSE))</f>
        <v/>
      </c>
      <c r="N30" s="16">
        <f>IF(A30="","",IF(M30=TRUE,IFERROR(H30,0)+IFERROR(I30,0)+IFERROR(J30,0)+IFERROR(K30,0)+IFERROR(L30,0),0))</f>
        <v/>
      </c>
      <c r="O30" s="16">
        <f>IF(A30="","",IF(M30=TRUE,IFERROR(H30,0),0))</f>
        <v/>
      </c>
      <c r="P30" s="16">
        <f>IF(A30="","",IF(M30=TRUE,IFERROR(I30,0),0))</f>
        <v/>
      </c>
      <c r="Q30" s="16">
        <f>IF(A30="","",IF(M30=TRUE,IFERROR(J30,0),0))</f>
        <v/>
      </c>
      <c r="R30" s="16">
        <f>IF(A30="","",IF(M30=TRUE,IFERROR(K30,0),0))</f>
        <v/>
      </c>
      <c r="S30" s="16">
        <f>IF(A30="","",IF(M30=TRUE,IFERROR(L30,0),0))</f>
        <v/>
      </c>
      <c r="T30" s="16">
        <f>IF(A30="","",IF(M30=TRUE,IFERROR(H30,0)+IFERROR(I30,0)+IFERROR(L30,0),0))</f>
        <v/>
      </c>
    </row>
    <row r="31">
      <c r="A31" s="10" t="n"/>
      <c r="B31" s="10" t="n"/>
      <c r="C31" s="11" t="n"/>
      <c r="D31" s="11" t="n"/>
      <c r="E31" s="10" t="n"/>
      <c r="F31" s="10" t="n"/>
      <c r="G31" s="12" t="n"/>
      <c r="H31" s="13" t="n"/>
      <c r="I31" s="13" t="n"/>
      <c r="J31" s="13" t="n"/>
      <c r="K31" s="13" t="n"/>
      <c r="L31" s="13" t="n"/>
      <c r="M31" s="17">
        <f>IF(A31="","",IFERROR(VLOOKUP(A31,Raw_CurrentMonth!A:O,15,FALSE)=TRUE,FALSE))</f>
        <v/>
      </c>
      <c r="N31" s="16">
        <f>IF(A31="","",IF(M31=TRUE,IFERROR(H31,0)+IFERROR(I31,0)+IFERROR(J31,0)+IFERROR(K31,0)+IFERROR(L31,0),0))</f>
        <v/>
      </c>
      <c r="O31" s="16">
        <f>IF(A31="","",IF(M31=TRUE,IFERROR(H31,0),0))</f>
        <v/>
      </c>
      <c r="P31" s="16">
        <f>IF(A31="","",IF(M31=TRUE,IFERROR(I31,0),0))</f>
        <v/>
      </c>
      <c r="Q31" s="16">
        <f>IF(A31="","",IF(M31=TRUE,IFERROR(J31,0),0))</f>
        <v/>
      </c>
      <c r="R31" s="16">
        <f>IF(A31="","",IF(M31=TRUE,IFERROR(K31,0),0))</f>
        <v/>
      </c>
      <c r="S31" s="16">
        <f>IF(A31="","",IF(M31=TRUE,IFERROR(L31,0),0))</f>
        <v/>
      </c>
      <c r="T31" s="16">
        <f>IF(A31="","",IF(M31=TRUE,IFERROR(H31,0)+IFERROR(I31,0)+IFERROR(L31,0),0))</f>
        <v/>
      </c>
    </row>
    <row r="32">
      <c r="A32" s="10" t="n"/>
      <c r="B32" s="10" t="n"/>
      <c r="C32" s="11" t="n"/>
      <c r="D32" s="11" t="n"/>
      <c r="E32" s="10" t="n"/>
      <c r="F32" s="10" t="n"/>
      <c r="G32" s="12" t="n"/>
      <c r="H32" s="13" t="n"/>
      <c r="I32" s="13" t="n"/>
      <c r="J32" s="13" t="n"/>
      <c r="K32" s="13" t="n"/>
      <c r="L32" s="13" t="n"/>
      <c r="M32" s="17">
        <f>IF(A32="","",IFERROR(VLOOKUP(A32,Raw_CurrentMonth!A:O,15,FALSE)=TRUE,FALSE))</f>
        <v/>
      </c>
      <c r="N32" s="16">
        <f>IF(A32="","",IF(M32=TRUE,IFERROR(H32,0)+IFERROR(I32,0)+IFERROR(J32,0)+IFERROR(K32,0)+IFERROR(L32,0),0))</f>
        <v/>
      </c>
      <c r="O32" s="16">
        <f>IF(A32="","",IF(M32=TRUE,IFERROR(H32,0),0))</f>
        <v/>
      </c>
      <c r="P32" s="16">
        <f>IF(A32="","",IF(M32=TRUE,IFERROR(I32,0),0))</f>
        <v/>
      </c>
      <c r="Q32" s="16">
        <f>IF(A32="","",IF(M32=TRUE,IFERROR(J32,0),0))</f>
        <v/>
      </c>
      <c r="R32" s="16">
        <f>IF(A32="","",IF(M32=TRUE,IFERROR(K32,0),0))</f>
        <v/>
      </c>
      <c r="S32" s="16">
        <f>IF(A32="","",IF(M32=TRUE,IFERROR(L32,0),0))</f>
        <v/>
      </c>
      <c r="T32" s="16">
        <f>IF(A32="","",IF(M32=TRUE,IFERROR(H32,0)+IFERROR(I32,0)+IFERROR(L32,0),0))</f>
        <v/>
      </c>
    </row>
    <row r="33">
      <c r="A33" s="10" t="n"/>
      <c r="B33" s="10" t="n"/>
      <c r="C33" s="11" t="n"/>
      <c r="D33" s="11" t="n"/>
      <c r="E33" s="10" t="n"/>
      <c r="F33" s="10" t="n"/>
      <c r="G33" s="12" t="n"/>
      <c r="H33" s="13" t="n"/>
      <c r="I33" s="13" t="n"/>
      <c r="J33" s="13" t="n"/>
      <c r="K33" s="13" t="n"/>
      <c r="L33" s="13" t="n"/>
      <c r="M33" s="17">
        <f>IF(A33="","",IFERROR(VLOOKUP(A33,Raw_CurrentMonth!A:O,15,FALSE)=TRUE,FALSE))</f>
        <v/>
      </c>
      <c r="N33" s="16">
        <f>IF(A33="","",IF(M33=TRUE,IFERROR(H33,0)+IFERROR(I33,0)+IFERROR(J33,0)+IFERROR(K33,0)+IFERROR(L33,0),0))</f>
        <v/>
      </c>
      <c r="O33" s="16">
        <f>IF(A33="","",IF(M33=TRUE,IFERROR(H33,0),0))</f>
        <v/>
      </c>
      <c r="P33" s="16">
        <f>IF(A33="","",IF(M33=TRUE,IFERROR(I33,0),0))</f>
        <v/>
      </c>
      <c r="Q33" s="16">
        <f>IF(A33="","",IF(M33=TRUE,IFERROR(J33,0),0))</f>
        <v/>
      </c>
      <c r="R33" s="16">
        <f>IF(A33="","",IF(M33=TRUE,IFERROR(K33,0),0))</f>
        <v/>
      </c>
      <c r="S33" s="16">
        <f>IF(A33="","",IF(M33=TRUE,IFERROR(L33,0),0))</f>
        <v/>
      </c>
      <c r="T33" s="16">
        <f>IF(A33="","",IF(M33=TRUE,IFERROR(H33,0)+IFERROR(I33,0)+IFERROR(L33,0),0))</f>
        <v/>
      </c>
    </row>
    <row r="34">
      <c r="A34" s="10" t="n"/>
      <c r="B34" s="10" t="n"/>
      <c r="C34" s="11" t="n"/>
      <c r="D34" s="11" t="n"/>
      <c r="E34" s="10" t="n"/>
      <c r="F34" s="10" t="n"/>
      <c r="G34" s="12" t="n"/>
      <c r="H34" s="13" t="n"/>
      <c r="I34" s="13" t="n"/>
      <c r="J34" s="13" t="n"/>
      <c r="K34" s="13" t="n"/>
      <c r="L34" s="13" t="n"/>
      <c r="M34" s="17">
        <f>IF(A34="","",IFERROR(VLOOKUP(A34,Raw_CurrentMonth!A:O,15,FALSE)=TRUE,FALSE))</f>
        <v/>
      </c>
      <c r="N34" s="16">
        <f>IF(A34="","",IF(M34=TRUE,IFERROR(H34,0)+IFERROR(I34,0)+IFERROR(J34,0)+IFERROR(K34,0)+IFERROR(L34,0),0))</f>
        <v/>
      </c>
      <c r="O34" s="16">
        <f>IF(A34="","",IF(M34=TRUE,IFERROR(H34,0),0))</f>
        <v/>
      </c>
      <c r="P34" s="16">
        <f>IF(A34="","",IF(M34=TRUE,IFERROR(I34,0),0))</f>
        <v/>
      </c>
      <c r="Q34" s="16">
        <f>IF(A34="","",IF(M34=TRUE,IFERROR(J34,0),0))</f>
        <v/>
      </c>
      <c r="R34" s="16">
        <f>IF(A34="","",IF(M34=TRUE,IFERROR(K34,0),0))</f>
        <v/>
      </c>
      <c r="S34" s="16">
        <f>IF(A34="","",IF(M34=TRUE,IFERROR(L34,0),0))</f>
        <v/>
      </c>
      <c r="T34" s="16">
        <f>IF(A34="","",IF(M34=TRUE,IFERROR(H34,0)+IFERROR(I34,0)+IFERROR(L34,0),0))</f>
        <v/>
      </c>
    </row>
    <row r="35">
      <c r="A35" s="10" t="n"/>
      <c r="B35" s="10" t="n"/>
      <c r="C35" s="11" t="n"/>
      <c r="D35" s="11" t="n"/>
      <c r="E35" s="10" t="n"/>
      <c r="F35" s="10" t="n"/>
      <c r="G35" s="12" t="n"/>
      <c r="H35" s="13" t="n"/>
      <c r="I35" s="13" t="n"/>
      <c r="J35" s="13" t="n"/>
      <c r="K35" s="13" t="n"/>
      <c r="L35" s="13" t="n"/>
      <c r="M35" s="17">
        <f>IF(A35="","",IFERROR(VLOOKUP(A35,Raw_CurrentMonth!A:O,15,FALSE)=TRUE,FALSE))</f>
        <v/>
      </c>
      <c r="N35" s="16">
        <f>IF(A35="","",IF(M35=TRUE,IFERROR(H35,0)+IFERROR(I35,0)+IFERROR(J35,0)+IFERROR(K35,0)+IFERROR(L35,0),0))</f>
        <v/>
      </c>
      <c r="O35" s="16">
        <f>IF(A35="","",IF(M35=TRUE,IFERROR(H35,0),0))</f>
        <v/>
      </c>
      <c r="P35" s="16">
        <f>IF(A35="","",IF(M35=TRUE,IFERROR(I35,0),0))</f>
        <v/>
      </c>
      <c r="Q35" s="16">
        <f>IF(A35="","",IF(M35=TRUE,IFERROR(J35,0),0))</f>
        <v/>
      </c>
      <c r="R35" s="16">
        <f>IF(A35="","",IF(M35=TRUE,IFERROR(K35,0),0))</f>
        <v/>
      </c>
      <c r="S35" s="16">
        <f>IF(A35="","",IF(M35=TRUE,IFERROR(L35,0),0))</f>
        <v/>
      </c>
      <c r="T35" s="16">
        <f>IF(A35="","",IF(M35=TRUE,IFERROR(H35,0)+IFERROR(I35,0)+IFERROR(L35,0),0))</f>
        <v/>
      </c>
    </row>
    <row r="36">
      <c r="A36" s="10" t="n"/>
      <c r="B36" s="10" t="n"/>
      <c r="C36" s="11" t="n"/>
      <c r="D36" s="11" t="n"/>
      <c r="E36" s="10" t="n"/>
      <c r="F36" s="10" t="n"/>
      <c r="G36" s="12" t="n"/>
      <c r="H36" s="13" t="n"/>
      <c r="I36" s="13" t="n"/>
      <c r="J36" s="13" t="n"/>
      <c r="K36" s="13" t="n"/>
      <c r="L36" s="13" t="n"/>
      <c r="M36" s="17">
        <f>IF(A36="","",IFERROR(VLOOKUP(A36,Raw_CurrentMonth!A:O,15,FALSE)=TRUE,FALSE))</f>
        <v/>
      </c>
      <c r="N36" s="16">
        <f>IF(A36="","",IF(M36=TRUE,IFERROR(H36,0)+IFERROR(I36,0)+IFERROR(J36,0)+IFERROR(K36,0)+IFERROR(L36,0),0))</f>
        <v/>
      </c>
      <c r="O36" s="16">
        <f>IF(A36="","",IF(M36=TRUE,IFERROR(H36,0),0))</f>
        <v/>
      </c>
      <c r="P36" s="16">
        <f>IF(A36="","",IF(M36=TRUE,IFERROR(I36,0),0))</f>
        <v/>
      </c>
      <c r="Q36" s="16">
        <f>IF(A36="","",IF(M36=TRUE,IFERROR(J36,0),0))</f>
        <v/>
      </c>
      <c r="R36" s="16">
        <f>IF(A36="","",IF(M36=TRUE,IFERROR(K36,0),0))</f>
        <v/>
      </c>
      <c r="S36" s="16">
        <f>IF(A36="","",IF(M36=TRUE,IFERROR(L36,0),0))</f>
        <v/>
      </c>
      <c r="T36" s="16">
        <f>IF(A36="","",IF(M36=TRUE,IFERROR(H36,0)+IFERROR(I36,0)+IFERROR(L36,0),0))</f>
        <v/>
      </c>
    </row>
    <row r="37">
      <c r="A37" s="10" t="n"/>
      <c r="B37" s="10" t="n"/>
      <c r="C37" s="11" t="n"/>
      <c r="D37" s="11" t="n"/>
      <c r="E37" s="10" t="n"/>
      <c r="F37" s="10" t="n"/>
      <c r="G37" s="12" t="n"/>
      <c r="H37" s="13" t="n"/>
      <c r="I37" s="13" t="n"/>
      <c r="J37" s="13" t="n"/>
      <c r="K37" s="13" t="n"/>
      <c r="L37" s="13" t="n"/>
      <c r="M37" s="17">
        <f>IF(A37="","",IFERROR(VLOOKUP(A37,Raw_CurrentMonth!A:O,15,FALSE)=TRUE,FALSE))</f>
        <v/>
      </c>
      <c r="N37" s="16">
        <f>IF(A37="","",IF(M37=TRUE,IFERROR(H37,0)+IFERROR(I37,0)+IFERROR(J37,0)+IFERROR(K37,0)+IFERROR(L37,0),0))</f>
        <v/>
      </c>
      <c r="O37" s="16">
        <f>IF(A37="","",IF(M37=TRUE,IFERROR(H37,0),0))</f>
        <v/>
      </c>
      <c r="P37" s="16">
        <f>IF(A37="","",IF(M37=TRUE,IFERROR(I37,0),0))</f>
        <v/>
      </c>
      <c r="Q37" s="16">
        <f>IF(A37="","",IF(M37=TRUE,IFERROR(J37,0),0))</f>
        <v/>
      </c>
      <c r="R37" s="16">
        <f>IF(A37="","",IF(M37=TRUE,IFERROR(K37,0),0))</f>
        <v/>
      </c>
      <c r="S37" s="16">
        <f>IF(A37="","",IF(M37=TRUE,IFERROR(L37,0),0))</f>
        <v/>
      </c>
      <c r="T37" s="16">
        <f>IF(A37="","",IF(M37=TRUE,IFERROR(H37,0)+IFERROR(I37,0)+IFERROR(L37,0),0))</f>
        <v/>
      </c>
    </row>
    <row r="38">
      <c r="A38" s="10" t="n"/>
      <c r="B38" s="10" t="n"/>
      <c r="C38" s="11" t="n"/>
      <c r="D38" s="11" t="n"/>
      <c r="E38" s="10" t="n"/>
      <c r="F38" s="10" t="n"/>
      <c r="G38" s="12" t="n"/>
      <c r="H38" s="13" t="n"/>
      <c r="I38" s="13" t="n"/>
      <c r="J38" s="13" t="n"/>
      <c r="K38" s="13" t="n"/>
      <c r="L38" s="13" t="n"/>
      <c r="M38" s="17">
        <f>IF(A38="","",IFERROR(VLOOKUP(A38,Raw_CurrentMonth!A:O,15,FALSE)=TRUE,FALSE))</f>
        <v/>
      </c>
      <c r="N38" s="16">
        <f>IF(A38="","",IF(M38=TRUE,IFERROR(H38,0)+IFERROR(I38,0)+IFERROR(J38,0)+IFERROR(K38,0)+IFERROR(L38,0),0))</f>
        <v/>
      </c>
      <c r="O38" s="16">
        <f>IF(A38="","",IF(M38=TRUE,IFERROR(H38,0),0))</f>
        <v/>
      </c>
      <c r="P38" s="16">
        <f>IF(A38="","",IF(M38=TRUE,IFERROR(I38,0),0))</f>
        <v/>
      </c>
      <c r="Q38" s="16">
        <f>IF(A38="","",IF(M38=TRUE,IFERROR(J38,0),0))</f>
        <v/>
      </c>
      <c r="R38" s="16">
        <f>IF(A38="","",IF(M38=TRUE,IFERROR(K38,0),0))</f>
        <v/>
      </c>
      <c r="S38" s="16">
        <f>IF(A38="","",IF(M38=TRUE,IFERROR(L38,0),0))</f>
        <v/>
      </c>
      <c r="T38" s="16">
        <f>IF(A38="","",IF(M38=TRUE,IFERROR(H38,0)+IFERROR(I38,0)+IFERROR(L38,0),0))</f>
        <v/>
      </c>
    </row>
    <row r="39">
      <c r="A39" s="10" t="n"/>
      <c r="B39" s="10" t="n"/>
      <c r="C39" s="11" t="n"/>
      <c r="D39" s="11" t="n"/>
      <c r="E39" s="10" t="n"/>
      <c r="F39" s="10" t="n"/>
      <c r="G39" s="12" t="n"/>
      <c r="H39" s="13" t="n"/>
      <c r="I39" s="13" t="n"/>
      <c r="J39" s="13" t="n"/>
      <c r="K39" s="13" t="n"/>
      <c r="L39" s="13" t="n"/>
      <c r="M39" s="17">
        <f>IF(A39="","",IFERROR(VLOOKUP(A39,Raw_CurrentMonth!A:O,15,FALSE)=TRUE,FALSE))</f>
        <v/>
      </c>
      <c r="N39" s="16">
        <f>IF(A39="","",IF(M39=TRUE,IFERROR(H39,0)+IFERROR(I39,0)+IFERROR(J39,0)+IFERROR(K39,0)+IFERROR(L39,0),0))</f>
        <v/>
      </c>
      <c r="O39" s="16">
        <f>IF(A39="","",IF(M39=TRUE,IFERROR(H39,0),0))</f>
        <v/>
      </c>
      <c r="P39" s="16">
        <f>IF(A39="","",IF(M39=TRUE,IFERROR(I39,0),0))</f>
        <v/>
      </c>
      <c r="Q39" s="16">
        <f>IF(A39="","",IF(M39=TRUE,IFERROR(J39,0),0))</f>
        <v/>
      </c>
      <c r="R39" s="16">
        <f>IF(A39="","",IF(M39=TRUE,IFERROR(K39,0),0))</f>
        <v/>
      </c>
      <c r="S39" s="16">
        <f>IF(A39="","",IF(M39=TRUE,IFERROR(L39,0),0))</f>
        <v/>
      </c>
      <c r="T39" s="16">
        <f>IF(A39="","",IF(M39=TRUE,IFERROR(H39,0)+IFERROR(I39,0)+IFERROR(L39,0),0))</f>
        <v/>
      </c>
    </row>
    <row r="40">
      <c r="A40" s="10" t="n"/>
      <c r="B40" s="10" t="n"/>
      <c r="C40" s="11" t="n"/>
      <c r="D40" s="11" t="n"/>
      <c r="E40" s="10" t="n"/>
      <c r="F40" s="10" t="n"/>
      <c r="G40" s="12" t="n"/>
      <c r="H40" s="13" t="n"/>
      <c r="I40" s="13" t="n"/>
      <c r="J40" s="13" t="n"/>
      <c r="K40" s="13" t="n"/>
      <c r="L40" s="13" t="n"/>
      <c r="M40" s="17">
        <f>IF(A40="","",IFERROR(VLOOKUP(A40,Raw_CurrentMonth!A:O,15,FALSE)=TRUE,FALSE))</f>
        <v/>
      </c>
      <c r="N40" s="16">
        <f>IF(A40="","",IF(M40=TRUE,IFERROR(H40,0)+IFERROR(I40,0)+IFERROR(J40,0)+IFERROR(K40,0)+IFERROR(L40,0),0))</f>
        <v/>
      </c>
      <c r="O40" s="16">
        <f>IF(A40="","",IF(M40=TRUE,IFERROR(H40,0),0))</f>
        <v/>
      </c>
      <c r="P40" s="16">
        <f>IF(A40="","",IF(M40=TRUE,IFERROR(I40,0),0))</f>
        <v/>
      </c>
      <c r="Q40" s="16">
        <f>IF(A40="","",IF(M40=TRUE,IFERROR(J40,0),0))</f>
        <v/>
      </c>
      <c r="R40" s="16">
        <f>IF(A40="","",IF(M40=TRUE,IFERROR(K40,0),0))</f>
        <v/>
      </c>
      <c r="S40" s="16">
        <f>IF(A40="","",IF(M40=TRUE,IFERROR(L40,0),0))</f>
        <v/>
      </c>
      <c r="T40" s="16">
        <f>IF(A40="","",IF(M40=TRUE,IFERROR(H40,0)+IFERROR(I40,0)+IFERROR(L40,0),0))</f>
        <v/>
      </c>
    </row>
    <row r="41">
      <c r="A41" s="10" t="n"/>
      <c r="B41" s="10" t="n"/>
      <c r="C41" s="11" t="n"/>
      <c r="D41" s="11" t="n"/>
      <c r="E41" s="10" t="n"/>
      <c r="F41" s="10" t="n"/>
      <c r="G41" s="12" t="n"/>
      <c r="H41" s="13" t="n"/>
      <c r="I41" s="13" t="n"/>
      <c r="J41" s="13" t="n"/>
      <c r="K41" s="13" t="n"/>
      <c r="L41" s="13" t="n"/>
      <c r="M41" s="17">
        <f>IF(A41="","",IFERROR(VLOOKUP(A41,Raw_CurrentMonth!A:O,15,FALSE)=TRUE,FALSE))</f>
        <v/>
      </c>
      <c r="N41" s="16">
        <f>IF(A41="","",IF(M41=TRUE,IFERROR(H41,0)+IFERROR(I41,0)+IFERROR(J41,0)+IFERROR(K41,0)+IFERROR(L41,0),0))</f>
        <v/>
      </c>
      <c r="O41" s="16">
        <f>IF(A41="","",IF(M41=TRUE,IFERROR(H41,0),0))</f>
        <v/>
      </c>
      <c r="P41" s="16">
        <f>IF(A41="","",IF(M41=TRUE,IFERROR(I41,0),0))</f>
        <v/>
      </c>
      <c r="Q41" s="16">
        <f>IF(A41="","",IF(M41=TRUE,IFERROR(J41,0),0))</f>
        <v/>
      </c>
      <c r="R41" s="16">
        <f>IF(A41="","",IF(M41=TRUE,IFERROR(K41,0),0))</f>
        <v/>
      </c>
      <c r="S41" s="16">
        <f>IF(A41="","",IF(M41=TRUE,IFERROR(L41,0),0))</f>
        <v/>
      </c>
      <c r="T41" s="16">
        <f>IF(A41="","",IF(M41=TRUE,IFERROR(H41,0)+IFERROR(I41,0)+IFERROR(L41,0),0))</f>
        <v/>
      </c>
    </row>
    <row r="42">
      <c r="A42" s="10" t="n"/>
      <c r="B42" s="10" t="n"/>
      <c r="C42" s="11" t="n"/>
      <c r="D42" s="11" t="n"/>
      <c r="E42" s="10" t="n"/>
      <c r="F42" s="10" t="n"/>
      <c r="G42" s="12" t="n"/>
      <c r="H42" s="13" t="n"/>
      <c r="I42" s="13" t="n"/>
      <c r="J42" s="13" t="n"/>
      <c r="K42" s="13" t="n"/>
      <c r="L42" s="13" t="n"/>
      <c r="M42" s="17">
        <f>IF(A42="","",IFERROR(VLOOKUP(A42,Raw_CurrentMonth!A:O,15,FALSE)=TRUE,FALSE))</f>
        <v/>
      </c>
      <c r="N42" s="16">
        <f>IF(A42="","",IF(M42=TRUE,IFERROR(H42,0)+IFERROR(I42,0)+IFERROR(J42,0)+IFERROR(K42,0)+IFERROR(L42,0),0))</f>
        <v/>
      </c>
      <c r="O42" s="16">
        <f>IF(A42="","",IF(M42=TRUE,IFERROR(H42,0),0))</f>
        <v/>
      </c>
      <c r="P42" s="16">
        <f>IF(A42="","",IF(M42=TRUE,IFERROR(I42,0),0))</f>
        <v/>
      </c>
      <c r="Q42" s="16">
        <f>IF(A42="","",IF(M42=TRUE,IFERROR(J42,0),0))</f>
        <v/>
      </c>
      <c r="R42" s="16">
        <f>IF(A42="","",IF(M42=TRUE,IFERROR(K42,0),0))</f>
        <v/>
      </c>
      <c r="S42" s="16">
        <f>IF(A42="","",IF(M42=TRUE,IFERROR(L42,0),0))</f>
        <v/>
      </c>
      <c r="T42" s="16">
        <f>IF(A42="","",IF(M42=TRUE,IFERROR(H42,0)+IFERROR(I42,0)+IFERROR(L42,0),0))</f>
        <v/>
      </c>
    </row>
    <row r="43">
      <c r="A43" s="10" t="n"/>
      <c r="B43" s="10" t="n"/>
      <c r="C43" s="11" t="n"/>
      <c r="D43" s="11" t="n"/>
      <c r="E43" s="10" t="n"/>
      <c r="F43" s="10" t="n"/>
      <c r="G43" s="12" t="n"/>
      <c r="H43" s="13" t="n"/>
      <c r="I43" s="13" t="n"/>
      <c r="J43" s="13" t="n"/>
      <c r="K43" s="13" t="n"/>
      <c r="L43" s="13" t="n"/>
      <c r="M43" s="17">
        <f>IF(A43="","",IFERROR(VLOOKUP(A43,Raw_CurrentMonth!A:O,15,FALSE)=TRUE,FALSE))</f>
        <v/>
      </c>
      <c r="N43" s="16">
        <f>IF(A43="","",IF(M43=TRUE,IFERROR(H43,0)+IFERROR(I43,0)+IFERROR(J43,0)+IFERROR(K43,0)+IFERROR(L43,0),0))</f>
        <v/>
      </c>
      <c r="O43" s="16">
        <f>IF(A43="","",IF(M43=TRUE,IFERROR(H43,0),0))</f>
        <v/>
      </c>
      <c r="P43" s="16">
        <f>IF(A43="","",IF(M43=TRUE,IFERROR(I43,0),0))</f>
        <v/>
      </c>
      <c r="Q43" s="16">
        <f>IF(A43="","",IF(M43=TRUE,IFERROR(J43,0),0))</f>
        <v/>
      </c>
      <c r="R43" s="16">
        <f>IF(A43="","",IF(M43=TRUE,IFERROR(K43,0),0))</f>
        <v/>
      </c>
      <c r="S43" s="16">
        <f>IF(A43="","",IF(M43=TRUE,IFERROR(L43,0),0))</f>
        <v/>
      </c>
      <c r="T43" s="16">
        <f>IF(A43="","",IF(M43=TRUE,IFERROR(H43,0)+IFERROR(I43,0)+IFERROR(L43,0),0))</f>
        <v/>
      </c>
    </row>
    <row r="44">
      <c r="A44" s="10" t="n"/>
      <c r="B44" s="10" t="n"/>
      <c r="C44" s="11" t="n"/>
      <c r="D44" s="11" t="n"/>
      <c r="E44" s="10" t="n"/>
      <c r="F44" s="10" t="n"/>
      <c r="G44" s="12" t="n"/>
      <c r="H44" s="13" t="n"/>
      <c r="I44" s="13" t="n"/>
      <c r="J44" s="13" t="n"/>
      <c r="K44" s="13" t="n"/>
      <c r="L44" s="13" t="n"/>
      <c r="M44" s="17">
        <f>IF(A44="","",IFERROR(VLOOKUP(A44,Raw_CurrentMonth!A:O,15,FALSE)=TRUE,FALSE))</f>
        <v/>
      </c>
      <c r="N44" s="16">
        <f>IF(A44="","",IF(M44=TRUE,IFERROR(H44,0)+IFERROR(I44,0)+IFERROR(J44,0)+IFERROR(K44,0)+IFERROR(L44,0),0))</f>
        <v/>
      </c>
      <c r="O44" s="16">
        <f>IF(A44="","",IF(M44=TRUE,IFERROR(H44,0),0))</f>
        <v/>
      </c>
      <c r="P44" s="16">
        <f>IF(A44="","",IF(M44=TRUE,IFERROR(I44,0),0))</f>
        <v/>
      </c>
      <c r="Q44" s="16">
        <f>IF(A44="","",IF(M44=TRUE,IFERROR(J44,0),0))</f>
        <v/>
      </c>
      <c r="R44" s="16">
        <f>IF(A44="","",IF(M44=TRUE,IFERROR(K44,0),0))</f>
        <v/>
      </c>
      <c r="S44" s="16">
        <f>IF(A44="","",IF(M44=TRUE,IFERROR(L44,0),0))</f>
        <v/>
      </c>
      <c r="T44" s="16">
        <f>IF(A44="","",IF(M44=TRUE,IFERROR(H44,0)+IFERROR(I44,0)+IFERROR(L44,0),0))</f>
        <v/>
      </c>
    </row>
    <row r="45">
      <c r="A45" s="10" t="n"/>
      <c r="B45" s="10" t="n"/>
      <c r="C45" s="11" t="n"/>
      <c r="D45" s="11" t="n"/>
      <c r="E45" s="10" t="n"/>
      <c r="F45" s="10" t="n"/>
      <c r="G45" s="12" t="n"/>
      <c r="H45" s="13" t="n"/>
      <c r="I45" s="13" t="n"/>
      <c r="J45" s="13" t="n"/>
      <c r="K45" s="13" t="n"/>
      <c r="L45" s="13" t="n"/>
      <c r="M45" s="17">
        <f>IF(A45="","",IFERROR(VLOOKUP(A45,Raw_CurrentMonth!A:O,15,FALSE)=TRUE,FALSE))</f>
        <v/>
      </c>
      <c r="N45" s="16">
        <f>IF(A45="","",IF(M45=TRUE,IFERROR(H45,0)+IFERROR(I45,0)+IFERROR(J45,0)+IFERROR(K45,0)+IFERROR(L45,0),0))</f>
        <v/>
      </c>
      <c r="O45" s="16">
        <f>IF(A45="","",IF(M45=TRUE,IFERROR(H45,0),0))</f>
        <v/>
      </c>
      <c r="P45" s="16">
        <f>IF(A45="","",IF(M45=TRUE,IFERROR(I45,0),0))</f>
        <v/>
      </c>
      <c r="Q45" s="16">
        <f>IF(A45="","",IF(M45=TRUE,IFERROR(J45,0),0))</f>
        <v/>
      </c>
      <c r="R45" s="16">
        <f>IF(A45="","",IF(M45=TRUE,IFERROR(K45,0),0))</f>
        <v/>
      </c>
      <c r="S45" s="16">
        <f>IF(A45="","",IF(M45=TRUE,IFERROR(L45,0),0))</f>
        <v/>
      </c>
      <c r="T45" s="16">
        <f>IF(A45="","",IF(M45=TRUE,IFERROR(H45,0)+IFERROR(I45,0)+IFERROR(L45,0),0))</f>
        <v/>
      </c>
    </row>
    <row r="46">
      <c r="A46" s="10" t="n"/>
      <c r="B46" s="10" t="n"/>
      <c r="C46" s="11" t="n"/>
      <c r="D46" s="11" t="n"/>
      <c r="E46" s="10" t="n"/>
      <c r="F46" s="10" t="n"/>
      <c r="G46" s="12" t="n"/>
      <c r="H46" s="13" t="n"/>
      <c r="I46" s="13" t="n"/>
      <c r="J46" s="13" t="n"/>
      <c r="K46" s="13" t="n"/>
      <c r="L46" s="13" t="n"/>
      <c r="M46" s="17">
        <f>IF(A46="","",IFERROR(VLOOKUP(A46,Raw_CurrentMonth!A:O,15,FALSE)=TRUE,FALSE))</f>
        <v/>
      </c>
      <c r="N46" s="16">
        <f>IF(A46="","",IF(M46=TRUE,IFERROR(H46,0)+IFERROR(I46,0)+IFERROR(J46,0)+IFERROR(K46,0)+IFERROR(L46,0),0))</f>
        <v/>
      </c>
      <c r="O46" s="16">
        <f>IF(A46="","",IF(M46=TRUE,IFERROR(H46,0),0))</f>
        <v/>
      </c>
      <c r="P46" s="16">
        <f>IF(A46="","",IF(M46=TRUE,IFERROR(I46,0),0))</f>
        <v/>
      </c>
      <c r="Q46" s="16">
        <f>IF(A46="","",IF(M46=TRUE,IFERROR(J46,0),0))</f>
        <v/>
      </c>
      <c r="R46" s="16">
        <f>IF(A46="","",IF(M46=TRUE,IFERROR(K46,0),0))</f>
        <v/>
      </c>
      <c r="S46" s="16">
        <f>IF(A46="","",IF(M46=TRUE,IFERROR(L46,0),0))</f>
        <v/>
      </c>
      <c r="T46" s="16">
        <f>IF(A46="","",IF(M46=TRUE,IFERROR(H46,0)+IFERROR(I46,0)+IFERROR(L46,0),0))</f>
        <v/>
      </c>
    </row>
    <row r="47">
      <c r="A47" s="10" t="n"/>
      <c r="B47" s="10" t="n"/>
      <c r="C47" s="11" t="n"/>
      <c r="D47" s="11" t="n"/>
      <c r="E47" s="10" t="n"/>
      <c r="F47" s="10" t="n"/>
      <c r="G47" s="12" t="n"/>
      <c r="H47" s="13" t="n"/>
      <c r="I47" s="13" t="n"/>
      <c r="J47" s="13" t="n"/>
      <c r="K47" s="13" t="n"/>
      <c r="L47" s="13" t="n"/>
      <c r="M47" s="17">
        <f>IF(A47="","",IFERROR(VLOOKUP(A47,Raw_CurrentMonth!A:O,15,FALSE)=TRUE,FALSE))</f>
        <v/>
      </c>
      <c r="N47" s="16">
        <f>IF(A47="","",IF(M47=TRUE,IFERROR(H47,0)+IFERROR(I47,0)+IFERROR(J47,0)+IFERROR(K47,0)+IFERROR(L47,0),0))</f>
        <v/>
      </c>
      <c r="O47" s="16">
        <f>IF(A47="","",IF(M47=TRUE,IFERROR(H47,0),0))</f>
        <v/>
      </c>
      <c r="P47" s="16">
        <f>IF(A47="","",IF(M47=TRUE,IFERROR(I47,0),0))</f>
        <v/>
      </c>
      <c r="Q47" s="16">
        <f>IF(A47="","",IF(M47=TRUE,IFERROR(J47,0),0))</f>
        <v/>
      </c>
      <c r="R47" s="16">
        <f>IF(A47="","",IF(M47=TRUE,IFERROR(K47,0),0))</f>
        <v/>
      </c>
      <c r="S47" s="16">
        <f>IF(A47="","",IF(M47=TRUE,IFERROR(L47,0),0))</f>
        <v/>
      </c>
      <c r="T47" s="16">
        <f>IF(A47="","",IF(M47=TRUE,IFERROR(H47,0)+IFERROR(I47,0)+IFERROR(L47,0),0))</f>
        <v/>
      </c>
    </row>
    <row r="48">
      <c r="A48" s="10" t="n"/>
      <c r="B48" s="10" t="n"/>
      <c r="C48" s="11" t="n"/>
      <c r="D48" s="11" t="n"/>
      <c r="E48" s="10" t="n"/>
      <c r="F48" s="10" t="n"/>
      <c r="G48" s="12" t="n"/>
      <c r="H48" s="13" t="n"/>
      <c r="I48" s="13" t="n"/>
      <c r="J48" s="13" t="n"/>
      <c r="K48" s="13" t="n"/>
      <c r="L48" s="13" t="n"/>
      <c r="M48" s="17">
        <f>IF(A48="","",IFERROR(VLOOKUP(A48,Raw_CurrentMonth!A:O,15,FALSE)=TRUE,FALSE))</f>
        <v/>
      </c>
      <c r="N48" s="16">
        <f>IF(A48="","",IF(M48=TRUE,IFERROR(H48,0)+IFERROR(I48,0)+IFERROR(J48,0)+IFERROR(K48,0)+IFERROR(L48,0),0))</f>
        <v/>
      </c>
      <c r="O48" s="16">
        <f>IF(A48="","",IF(M48=TRUE,IFERROR(H48,0),0))</f>
        <v/>
      </c>
      <c r="P48" s="16">
        <f>IF(A48="","",IF(M48=TRUE,IFERROR(I48,0),0))</f>
        <v/>
      </c>
      <c r="Q48" s="16">
        <f>IF(A48="","",IF(M48=TRUE,IFERROR(J48,0),0))</f>
        <v/>
      </c>
      <c r="R48" s="16">
        <f>IF(A48="","",IF(M48=TRUE,IFERROR(K48,0),0))</f>
        <v/>
      </c>
      <c r="S48" s="16">
        <f>IF(A48="","",IF(M48=TRUE,IFERROR(L48,0),0))</f>
        <v/>
      </c>
      <c r="T48" s="16">
        <f>IF(A48="","",IF(M48=TRUE,IFERROR(H48,0)+IFERROR(I48,0)+IFERROR(L48,0),0))</f>
        <v/>
      </c>
    </row>
    <row r="49">
      <c r="A49" s="10" t="n"/>
      <c r="B49" s="10" t="n"/>
      <c r="C49" s="11" t="n"/>
      <c r="D49" s="11" t="n"/>
      <c r="E49" s="10" t="n"/>
      <c r="F49" s="10" t="n"/>
      <c r="G49" s="12" t="n"/>
      <c r="H49" s="13" t="n"/>
      <c r="I49" s="13" t="n"/>
      <c r="J49" s="13" t="n"/>
      <c r="K49" s="13" t="n"/>
      <c r="L49" s="13" t="n"/>
      <c r="M49" s="17">
        <f>IF(A49="","",IFERROR(VLOOKUP(A49,Raw_CurrentMonth!A:O,15,FALSE)=TRUE,FALSE))</f>
        <v/>
      </c>
      <c r="N49" s="16">
        <f>IF(A49="","",IF(M49=TRUE,IFERROR(H49,0)+IFERROR(I49,0)+IFERROR(J49,0)+IFERROR(K49,0)+IFERROR(L49,0),0))</f>
        <v/>
      </c>
      <c r="O49" s="16">
        <f>IF(A49="","",IF(M49=TRUE,IFERROR(H49,0),0))</f>
        <v/>
      </c>
      <c r="P49" s="16">
        <f>IF(A49="","",IF(M49=TRUE,IFERROR(I49,0),0))</f>
        <v/>
      </c>
      <c r="Q49" s="16">
        <f>IF(A49="","",IF(M49=TRUE,IFERROR(J49,0),0))</f>
        <v/>
      </c>
      <c r="R49" s="16">
        <f>IF(A49="","",IF(M49=TRUE,IFERROR(K49,0),0))</f>
        <v/>
      </c>
      <c r="S49" s="16">
        <f>IF(A49="","",IF(M49=TRUE,IFERROR(L49,0),0))</f>
        <v/>
      </c>
      <c r="T49" s="16">
        <f>IF(A49="","",IF(M49=TRUE,IFERROR(H49,0)+IFERROR(I49,0)+IFERROR(L49,0),0))</f>
        <v/>
      </c>
    </row>
    <row r="50">
      <c r="A50" s="10" t="n"/>
      <c r="B50" s="10" t="n"/>
      <c r="C50" s="11" t="n"/>
      <c r="D50" s="11" t="n"/>
      <c r="E50" s="10" t="n"/>
      <c r="F50" s="10" t="n"/>
      <c r="G50" s="12" t="n"/>
      <c r="H50" s="13" t="n"/>
      <c r="I50" s="13" t="n"/>
      <c r="J50" s="13" t="n"/>
      <c r="K50" s="13" t="n"/>
      <c r="L50" s="13" t="n"/>
      <c r="M50" s="17">
        <f>IF(A50="","",IFERROR(VLOOKUP(A50,Raw_CurrentMonth!A:O,15,FALSE)=TRUE,FALSE))</f>
        <v/>
      </c>
      <c r="N50" s="16">
        <f>IF(A50="","",IF(M50=TRUE,IFERROR(H50,0)+IFERROR(I50,0)+IFERROR(J50,0)+IFERROR(K50,0)+IFERROR(L50,0),0))</f>
        <v/>
      </c>
      <c r="O50" s="16">
        <f>IF(A50="","",IF(M50=TRUE,IFERROR(H50,0),0))</f>
        <v/>
      </c>
      <c r="P50" s="16">
        <f>IF(A50="","",IF(M50=TRUE,IFERROR(I50,0),0))</f>
        <v/>
      </c>
      <c r="Q50" s="16">
        <f>IF(A50="","",IF(M50=TRUE,IFERROR(J50,0),0))</f>
        <v/>
      </c>
      <c r="R50" s="16">
        <f>IF(A50="","",IF(M50=TRUE,IFERROR(K50,0),0))</f>
        <v/>
      </c>
      <c r="S50" s="16">
        <f>IF(A50="","",IF(M50=TRUE,IFERROR(L50,0),0))</f>
        <v/>
      </c>
      <c r="T50" s="16">
        <f>IF(A50="","",IF(M50=TRUE,IFERROR(H50,0)+IFERROR(I50,0)+IFERROR(L50,0),0))</f>
        <v/>
      </c>
    </row>
    <row r="51">
      <c r="A51" s="10" t="n"/>
      <c r="B51" s="10" t="n"/>
      <c r="C51" s="11" t="n"/>
      <c r="D51" s="11" t="n"/>
      <c r="E51" s="10" t="n"/>
      <c r="F51" s="10" t="n"/>
      <c r="G51" s="12" t="n"/>
      <c r="H51" s="13" t="n"/>
      <c r="I51" s="13" t="n"/>
      <c r="J51" s="13" t="n"/>
      <c r="K51" s="13" t="n"/>
      <c r="L51" s="13" t="n"/>
      <c r="M51" s="17">
        <f>IF(A51="","",IFERROR(VLOOKUP(A51,Raw_CurrentMonth!A:O,15,FALSE)=TRUE,FALSE))</f>
        <v/>
      </c>
      <c r="N51" s="16">
        <f>IF(A51="","",IF(M51=TRUE,IFERROR(H51,0)+IFERROR(I51,0)+IFERROR(J51,0)+IFERROR(K51,0)+IFERROR(L51,0),0))</f>
        <v/>
      </c>
      <c r="O51" s="16">
        <f>IF(A51="","",IF(M51=TRUE,IFERROR(H51,0),0))</f>
        <v/>
      </c>
      <c r="P51" s="16">
        <f>IF(A51="","",IF(M51=TRUE,IFERROR(I51,0),0))</f>
        <v/>
      </c>
      <c r="Q51" s="16">
        <f>IF(A51="","",IF(M51=TRUE,IFERROR(J51,0),0))</f>
        <v/>
      </c>
      <c r="R51" s="16">
        <f>IF(A51="","",IF(M51=TRUE,IFERROR(K51,0),0))</f>
        <v/>
      </c>
      <c r="S51" s="16">
        <f>IF(A51="","",IF(M51=TRUE,IFERROR(L51,0),0))</f>
        <v/>
      </c>
      <c r="T51" s="16">
        <f>IF(A51="","",IF(M51=TRUE,IFERROR(H51,0)+IFERROR(I51,0)+IFERROR(L51,0),0))</f>
        <v/>
      </c>
    </row>
    <row r="52">
      <c r="A52" s="10" t="n"/>
      <c r="B52" s="10" t="n"/>
      <c r="C52" s="11" t="n"/>
      <c r="D52" s="11" t="n"/>
      <c r="E52" s="10" t="n"/>
      <c r="F52" s="10" t="n"/>
      <c r="G52" s="12" t="n"/>
      <c r="H52" s="13" t="n"/>
      <c r="I52" s="13" t="n"/>
      <c r="J52" s="13" t="n"/>
      <c r="K52" s="13" t="n"/>
      <c r="L52" s="13" t="n"/>
      <c r="M52" s="17">
        <f>IF(A52="","",IFERROR(VLOOKUP(A52,Raw_CurrentMonth!A:O,15,FALSE)=TRUE,FALSE))</f>
        <v/>
      </c>
      <c r="N52" s="16">
        <f>IF(A52="","",IF(M52=TRUE,IFERROR(H52,0)+IFERROR(I52,0)+IFERROR(J52,0)+IFERROR(K52,0)+IFERROR(L52,0),0))</f>
        <v/>
      </c>
      <c r="O52" s="16">
        <f>IF(A52="","",IF(M52=TRUE,IFERROR(H52,0),0))</f>
        <v/>
      </c>
      <c r="P52" s="16">
        <f>IF(A52="","",IF(M52=TRUE,IFERROR(I52,0),0))</f>
        <v/>
      </c>
      <c r="Q52" s="16">
        <f>IF(A52="","",IF(M52=TRUE,IFERROR(J52,0),0))</f>
        <v/>
      </c>
      <c r="R52" s="16">
        <f>IF(A52="","",IF(M52=TRUE,IFERROR(K52,0),0))</f>
        <v/>
      </c>
      <c r="S52" s="16">
        <f>IF(A52="","",IF(M52=TRUE,IFERROR(L52,0),0))</f>
        <v/>
      </c>
      <c r="T52" s="16">
        <f>IF(A52="","",IF(M52=TRUE,IFERROR(H52,0)+IFERROR(I52,0)+IFERROR(L52,0),0))</f>
        <v/>
      </c>
    </row>
    <row r="53">
      <c r="A53" s="10" t="n"/>
      <c r="B53" s="10" t="n"/>
      <c r="C53" s="11" t="n"/>
      <c r="D53" s="11" t="n"/>
      <c r="E53" s="10" t="n"/>
      <c r="F53" s="10" t="n"/>
      <c r="G53" s="12" t="n"/>
      <c r="H53" s="13" t="n"/>
      <c r="I53" s="13" t="n"/>
      <c r="J53" s="13" t="n"/>
      <c r="K53" s="13" t="n"/>
      <c r="L53" s="13" t="n"/>
      <c r="M53" s="17">
        <f>IF(A53="","",IFERROR(VLOOKUP(A53,Raw_CurrentMonth!A:O,15,FALSE)=TRUE,FALSE))</f>
        <v/>
      </c>
      <c r="N53" s="16">
        <f>IF(A53="","",IF(M53=TRUE,IFERROR(H53,0)+IFERROR(I53,0)+IFERROR(J53,0)+IFERROR(K53,0)+IFERROR(L53,0),0))</f>
        <v/>
      </c>
      <c r="O53" s="16">
        <f>IF(A53="","",IF(M53=TRUE,IFERROR(H53,0),0))</f>
        <v/>
      </c>
      <c r="P53" s="16">
        <f>IF(A53="","",IF(M53=TRUE,IFERROR(I53,0),0))</f>
        <v/>
      </c>
      <c r="Q53" s="16">
        <f>IF(A53="","",IF(M53=TRUE,IFERROR(J53,0),0))</f>
        <v/>
      </c>
      <c r="R53" s="16">
        <f>IF(A53="","",IF(M53=TRUE,IFERROR(K53,0),0))</f>
        <v/>
      </c>
      <c r="S53" s="16">
        <f>IF(A53="","",IF(M53=TRUE,IFERROR(L53,0),0))</f>
        <v/>
      </c>
      <c r="T53" s="16">
        <f>IF(A53="","",IF(M53=TRUE,IFERROR(H53,0)+IFERROR(I53,0)+IFERROR(L53,0),0))</f>
        <v/>
      </c>
    </row>
    <row r="54">
      <c r="A54" s="10" t="n"/>
      <c r="B54" s="10" t="n"/>
      <c r="C54" s="11" t="n"/>
      <c r="D54" s="11" t="n"/>
      <c r="E54" s="10" t="n"/>
      <c r="F54" s="10" t="n"/>
      <c r="G54" s="12" t="n"/>
      <c r="H54" s="13" t="n"/>
      <c r="I54" s="13" t="n"/>
      <c r="J54" s="13" t="n"/>
      <c r="K54" s="13" t="n"/>
      <c r="L54" s="13" t="n"/>
      <c r="M54" s="17">
        <f>IF(A54="","",IFERROR(VLOOKUP(A54,Raw_CurrentMonth!A:O,15,FALSE)=TRUE,FALSE))</f>
        <v/>
      </c>
      <c r="N54" s="16">
        <f>IF(A54="","",IF(M54=TRUE,IFERROR(H54,0)+IFERROR(I54,0)+IFERROR(J54,0)+IFERROR(K54,0)+IFERROR(L54,0),0))</f>
        <v/>
      </c>
      <c r="O54" s="16">
        <f>IF(A54="","",IF(M54=TRUE,IFERROR(H54,0),0))</f>
        <v/>
      </c>
      <c r="P54" s="16">
        <f>IF(A54="","",IF(M54=TRUE,IFERROR(I54,0),0))</f>
        <v/>
      </c>
      <c r="Q54" s="16">
        <f>IF(A54="","",IF(M54=TRUE,IFERROR(J54,0),0))</f>
        <v/>
      </c>
      <c r="R54" s="16">
        <f>IF(A54="","",IF(M54=TRUE,IFERROR(K54,0),0))</f>
        <v/>
      </c>
      <c r="S54" s="16">
        <f>IF(A54="","",IF(M54=TRUE,IFERROR(L54,0),0))</f>
        <v/>
      </c>
      <c r="T54" s="16">
        <f>IF(A54="","",IF(M54=TRUE,IFERROR(H54,0)+IFERROR(I54,0)+IFERROR(L54,0),0))</f>
        <v/>
      </c>
    </row>
    <row r="55">
      <c r="A55" s="10" t="n"/>
      <c r="B55" s="10" t="n"/>
      <c r="C55" s="11" t="n"/>
      <c r="D55" s="11" t="n"/>
      <c r="E55" s="10" t="n"/>
      <c r="F55" s="10" t="n"/>
      <c r="G55" s="12" t="n"/>
      <c r="H55" s="13" t="n"/>
      <c r="I55" s="13" t="n"/>
      <c r="J55" s="13" t="n"/>
      <c r="K55" s="13" t="n"/>
      <c r="L55" s="13" t="n"/>
      <c r="M55" s="17">
        <f>IF(A55="","",IFERROR(VLOOKUP(A55,Raw_CurrentMonth!A:O,15,FALSE)=TRUE,FALSE))</f>
        <v/>
      </c>
      <c r="N55" s="16">
        <f>IF(A55="","",IF(M55=TRUE,IFERROR(H55,0)+IFERROR(I55,0)+IFERROR(J55,0)+IFERROR(K55,0)+IFERROR(L55,0),0))</f>
        <v/>
      </c>
      <c r="O55" s="16">
        <f>IF(A55="","",IF(M55=TRUE,IFERROR(H55,0),0))</f>
        <v/>
      </c>
      <c r="P55" s="16">
        <f>IF(A55="","",IF(M55=TRUE,IFERROR(I55,0),0))</f>
        <v/>
      </c>
      <c r="Q55" s="16">
        <f>IF(A55="","",IF(M55=TRUE,IFERROR(J55,0),0))</f>
        <v/>
      </c>
      <c r="R55" s="16">
        <f>IF(A55="","",IF(M55=TRUE,IFERROR(K55,0),0))</f>
        <v/>
      </c>
      <c r="S55" s="16">
        <f>IF(A55="","",IF(M55=TRUE,IFERROR(L55,0),0))</f>
        <v/>
      </c>
      <c r="T55" s="16">
        <f>IF(A55="","",IF(M55=TRUE,IFERROR(H55,0)+IFERROR(I55,0)+IFERROR(L55,0),0))</f>
        <v/>
      </c>
    </row>
    <row r="56">
      <c r="A56" s="10" t="n"/>
      <c r="B56" s="10" t="n"/>
      <c r="C56" s="11" t="n"/>
      <c r="D56" s="11" t="n"/>
      <c r="E56" s="10" t="n"/>
      <c r="F56" s="10" t="n"/>
      <c r="G56" s="12" t="n"/>
      <c r="H56" s="13" t="n"/>
      <c r="I56" s="13" t="n"/>
      <c r="J56" s="13" t="n"/>
      <c r="K56" s="13" t="n"/>
      <c r="L56" s="13" t="n"/>
      <c r="M56" s="17">
        <f>IF(A56="","",IFERROR(VLOOKUP(A56,Raw_CurrentMonth!A:O,15,FALSE)=TRUE,FALSE))</f>
        <v/>
      </c>
      <c r="N56" s="16">
        <f>IF(A56="","",IF(M56=TRUE,IFERROR(H56,0)+IFERROR(I56,0)+IFERROR(J56,0)+IFERROR(K56,0)+IFERROR(L56,0),0))</f>
        <v/>
      </c>
      <c r="O56" s="16">
        <f>IF(A56="","",IF(M56=TRUE,IFERROR(H56,0),0))</f>
        <v/>
      </c>
      <c r="P56" s="16">
        <f>IF(A56="","",IF(M56=TRUE,IFERROR(I56,0),0))</f>
        <v/>
      </c>
      <c r="Q56" s="16">
        <f>IF(A56="","",IF(M56=TRUE,IFERROR(J56,0),0))</f>
        <v/>
      </c>
      <c r="R56" s="16">
        <f>IF(A56="","",IF(M56=TRUE,IFERROR(K56,0),0))</f>
        <v/>
      </c>
      <c r="S56" s="16">
        <f>IF(A56="","",IF(M56=TRUE,IFERROR(L56,0),0))</f>
        <v/>
      </c>
      <c r="T56" s="16">
        <f>IF(A56="","",IF(M56=TRUE,IFERROR(H56,0)+IFERROR(I56,0)+IFERROR(L56,0),0))</f>
        <v/>
      </c>
    </row>
    <row r="57">
      <c r="A57" s="10" t="n"/>
      <c r="B57" s="10" t="n"/>
      <c r="C57" s="11" t="n"/>
      <c r="D57" s="11" t="n"/>
      <c r="E57" s="10" t="n"/>
      <c r="F57" s="10" t="n"/>
      <c r="G57" s="12" t="n"/>
      <c r="H57" s="13" t="n"/>
      <c r="I57" s="13" t="n"/>
      <c r="J57" s="13" t="n"/>
      <c r="K57" s="13" t="n"/>
      <c r="L57" s="13" t="n"/>
      <c r="M57" s="17">
        <f>IF(A57="","",IFERROR(VLOOKUP(A57,Raw_CurrentMonth!A:O,15,FALSE)=TRUE,FALSE))</f>
        <v/>
      </c>
      <c r="N57" s="16">
        <f>IF(A57="","",IF(M57=TRUE,IFERROR(H57,0)+IFERROR(I57,0)+IFERROR(J57,0)+IFERROR(K57,0)+IFERROR(L57,0),0))</f>
        <v/>
      </c>
      <c r="O57" s="16">
        <f>IF(A57="","",IF(M57=TRUE,IFERROR(H57,0),0))</f>
        <v/>
      </c>
      <c r="P57" s="16">
        <f>IF(A57="","",IF(M57=TRUE,IFERROR(I57,0),0))</f>
        <v/>
      </c>
      <c r="Q57" s="16">
        <f>IF(A57="","",IF(M57=TRUE,IFERROR(J57,0),0))</f>
        <v/>
      </c>
      <c r="R57" s="16">
        <f>IF(A57="","",IF(M57=TRUE,IFERROR(K57,0),0))</f>
        <v/>
      </c>
      <c r="S57" s="16">
        <f>IF(A57="","",IF(M57=TRUE,IFERROR(L57,0),0))</f>
        <v/>
      </c>
      <c r="T57" s="16">
        <f>IF(A57="","",IF(M57=TRUE,IFERROR(H57,0)+IFERROR(I57,0)+IFERROR(L57,0),0))</f>
        <v/>
      </c>
    </row>
    <row r="58">
      <c r="A58" s="10" t="n"/>
      <c r="B58" s="10" t="n"/>
      <c r="C58" s="11" t="n"/>
      <c r="D58" s="11" t="n"/>
      <c r="E58" s="10" t="n"/>
      <c r="F58" s="10" t="n"/>
      <c r="G58" s="12" t="n"/>
      <c r="H58" s="13" t="n"/>
      <c r="I58" s="13" t="n"/>
      <c r="J58" s="13" t="n"/>
      <c r="K58" s="13" t="n"/>
      <c r="L58" s="13" t="n"/>
      <c r="M58" s="17">
        <f>IF(A58="","",IFERROR(VLOOKUP(A58,Raw_CurrentMonth!A:O,15,FALSE)=TRUE,FALSE))</f>
        <v/>
      </c>
      <c r="N58" s="16">
        <f>IF(A58="","",IF(M58=TRUE,IFERROR(H58,0)+IFERROR(I58,0)+IFERROR(J58,0)+IFERROR(K58,0)+IFERROR(L58,0),0))</f>
        <v/>
      </c>
      <c r="O58" s="16">
        <f>IF(A58="","",IF(M58=TRUE,IFERROR(H58,0),0))</f>
        <v/>
      </c>
      <c r="P58" s="16">
        <f>IF(A58="","",IF(M58=TRUE,IFERROR(I58,0),0))</f>
        <v/>
      </c>
      <c r="Q58" s="16">
        <f>IF(A58="","",IF(M58=TRUE,IFERROR(J58,0),0))</f>
        <v/>
      </c>
      <c r="R58" s="16">
        <f>IF(A58="","",IF(M58=TRUE,IFERROR(K58,0),0))</f>
        <v/>
      </c>
      <c r="S58" s="16">
        <f>IF(A58="","",IF(M58=TRUE,IFERROR(L58,0),0))</f>
        <v/>
      </c>
      <c r="T58" s="16">
        <f>IF(A58="","",IF(M58=TRUE,IFERROR(H58,0)+IFERROR(I58,0)+IFERROR(L58,0),0))</f>
        <v/>
      </c>
    </row>
    <row r="59">
      <c r="A59" s="10" t="n"/>
      <c r="B59" s="10" t="n"/>
      <c r="C59" s="11" t="n"/>
      <c r="D59" s="11" t="n"/>
      <c r="E59" s="10" t="n"/>
      <c r="F59" s="10" t="n"/>
      <c r="G59" s="12" t="n"/>
      <c r="H59" s="13" t="n"/>
      <c r="I59" s="13" t="n"/>
      <c r="J59" s="13" t="n"/>
      <c r="K59" s="13" t="n"/>
      <c r="L59" s="13" t="n"/>
      <c r="M59" s="17">
        <f>IF(A59="","",IFERROR(VLOOKUP(A59,Raw_CurrentMonth!A:O,15,FALSE)=TRUE,FALSE))</f>
        <v/>
      </c>
      <c r="N59" s="16">
        <f>IF(A59="","",IF(M59=TRUE,IFERROR(H59,0)+IFERROR(I59,0)+IFERROR(J59,0)+IFERROR(K59,0)+IFERROR(L59,0),0))</f>
        <v/>
      </c>
      <c r="O59" s="16">
        <f>IF(A59="","",IF(M59=TRUE,IFERROR(H59,0),0))</f>
        <v/>
      </c>
      <c r="P59" s="16">
        <f>IF(A59="","",IF(M59=TRUE,IFERROR(I59,0),0))</f>
        <v/>
      </c>
      <c r="Q59" s="16">
        <f>IF(A59="","",IF(M59=TRUE,IFERROR(J59,0),0))</f>
        <v/>
      </c>
      <c r="R59" s="16">
        <f>IF(A59="","",IF(M59=TRUE,IFERROR(K59,0),0))</f>
        <v/>
      </c>
      <c r="S59" s="16">
        <f>IF(A59="","",IF(M59=TRUE,IFERROR(L59,0),0))</f>
        <v/>
      </c>
      <c r="T59" s="16">
        <f>IF(A59="","",IF(M59=TRUE,IFERROR(H59,0)+IFERROR(I59,0)+IFERROR(L59,0),0))</f>
        <v/>
      </c>
    </row>
    <row r="60">
      <c r="A60" s="10" t="n"/>
      <c r="B60" s="10" t="n"/>
      <c r="C60" s="11" t="n"/>
      <c r="D60" s="11" t="n"/>
      <c r="E60" s="10" t="n"/>
      <c r="F60" s="10" t="n"/>
      <c r="G60" s="12" t="n"/>
      <c r="H60" s="13" t="n"/>
      <c r="I60" s="13" t="n"/>
      <c r="J60" s="13" t="n"/>
      <c r="K60" s="13" t="n"/>
      <c r="L60" s="13" t="n"/>
      <c r="M60" s="17">
        <f>IF(A60="","",IFERROR(VLOOKUP(A60,Raw_CurrentMonth!A:O,15,FALSE)=TRUE,FALSE))</f>
        <v/>
      </c>
      <c r="N60" s="16">
        <f>IF(A60="","",IF(M60=TRUE,IFERROR(H60,0)+IFERROR(I60,0)+IFERROR(J60,0)+IFERROR(K60,0)+IFERROR(L60,0),0))</f>
        <v/>
      </c>
      <c r="O60" s="16">
        <f>IF(A60="","",IF(M60=TRUE,IFERROR(H60,0),0))</f>
        <v/>
      </c>
      <c r="P60" s="16">
        <f>IF(A60="","",IF(M60=TRUE,IFERROR(I60,0),0))</f>
        <v/>
      </c>
      <c r="Q60" s="16">
        <f>IF(A60="","",IF(M60=TRUE,IFERROR(J60,0),0))</f>
        <v/>
      </c>
      <c r="R60" s="16">
        <f>IF(A60="","",IF(M60=TRUE,IFERROR(K60,0),0))</f>
        <v/>
      </c>
      <c r="S60" s="16">
        <f>IF(A60="","",IF(M60=TRUE,IFERROR(L60,0),0))</f>
        <v/>
      </c>
      <c r="T60" s="16">
        <f>IF(A60="","",IF(M60=TRUE,IFERROR(H60,0)+IFERROR(I60,0)+IFERROR(L60,0),0))</f>
        <v/>
      </c>
    </row>
    <row r="61">
      <c r="A61" s="10" t="n"/>
      <c r="B61" s="10" t="n"/>
      <c r="C61" s="11" t="n"/>
      <c r="D61" s="11" t="n"/>
      <c r="E61" s="10" t="n"/>
      <c r="F61" s="10" t="n"/>
      <c r="G61" s="12" t="n"/>
      <c r="H61" s="13" t="n"/>
      <c r="I61" s="13" t="n"/>
      <c r="J61" s="13" t="n"/>
      <c r="K61" s="13" t="n"/>
      <c r="L61" s="13" t="n"/>
      <c r="M61" s="17">
        <f>IF(A61="","",IFERROR(VLOOKUP(A61,Raw_CurrentMonth!A:O,15,FALSE)=TRUE,FALSE))</f>
        <v/>
      </c>
      <c r="N61" s="16">
        <f>IF(A61="","",IF(M61=TRUE,IFERROR(H61,0)+IFERROR(I61,0)+IFERROR(J61,0)+IFERROR(K61,0)+IFERROR(L61,0),0))</f>
        <v/>
      </c>
      <c r="O61" s="16">
        <f>IF(A61="","",IF(M61=TRUE,IFERROR(H61,0),0))</f>
        <v/>
      </c>
      <c r="P61" s="16">
        <f>IF(A61="","",IF(M61=TRUE,IFERROR(I61,0),0))</f>
        <v/>
      </c>
      <c r="Q61" s="16">
        <f>IF(A61="","",IF(M61=TRUE,IFERROR(J61,0),0))</f>
        <v/>
      </c>
      <c r="R61" s="16">
        <f>IF(A61="","",IF(M61=TRUE,IFERROR(K61,0),0))</f>
        <v/>
      </c>
      <c r="S61" s="16">
        <f>IF(A61="","",IF(M61=TRUE,IFERROR(L61,0),0))</f>
        <v/>
      </c>
      <c r="T61" s="16">
        <f>IF(A61="","",IF(M61=TRUE,IFERROR(H61,0)+IFERROR(I61,0)+IFERROR(L61,0),0))</f>
        <v/>
      </c>
    </row>
    <row r="62">
      <c r="A62" s="10" t="n"/>
      <c r="B62" s="10" t="n"/>
      <c r="C62" s="11" t="n"/>
      <c r="D62" s="11" t="n"/>
      <c r="E62" s="10" t="n"/>
      <c r="F62" s="10" t="n"/>
      <c r="G62" s="12" t="n"/>
      <c r="H62" s="13" t="n"/>
      <c r="I62" s="13" t="n"/>
      <c r="J62" s="13" t="n"/>
      <c r="K62" s="13" t="n"/>
      <c r="L62" s="13" t="n"/>
      <c r="M62" s="17">
        <f>IF(A62="","",IFERROR(VLOOKUP(A62,Raw_CurrentMonth!A:O,15,FALSE)=TRUE,FALSE))</f>
        <v/>
      </c>
      <c r="N62" s="16">
        <f>IF(A62="","",IF(M62=TRUE,IFERROR(H62,0)+IFERROR(I62,0)+IFERROR(J62,0)+IFERROR(K62,0)+IFERROR(L62,0),0))</f>
        <v/>
      </c>
      <c r="O62" s="16">
        <f>IF(A62="","",IF(M62=TRUE,IFERROR(H62,0),0))</f>
        <v/>
      </c>
      <c r="P62" s="16">
        <f>IF(A62="","",IF(M62=TRUE,IFERROR(I62,0),0))</f>
        <v/>
      </c>
      <c r="Q62" s="16">
        <f>IF(A62="","",IF(M62=TRUE,IFERROR(J62,0),0))</f>
        <v/>
      </c>
      <c r="R62" s="16">
        <f>IF(A62="","",IF(M62=TRUE,IFERROR(K62,0),0))</f>
        <v/>
      </c>
      <c r="S62" s="16">
        <f>IF(A62="","",IF(M62=TRUE,IFERROR(L62,0),0))</f>
        <v/>
      </c>
      <c r="T62" s="16">
        <f>IF(A62="","",IF(M62=TRUE,IFERROR(H62,0)+IFERROR(I62,0)+IFERROR(L62,0),0))</f>
        <v/>
      </c>
    </row>
    <row r="63">
      <c r="A63" s="10" t="n"/>
      <c r="B63" s="10" t="n"/>
      <c r="C63" s="11" t="n"/>
      <c r="D63" s="11" t="n"/>
      <c r="E63" s="10" t="n"/>
      <c r="F63" s="10" t="n"/>
      <c r="G63" s="12" t="n"/>
      <c r="H63" s="13" t="n"/>
      <c r="I63" s="13" t="n"/>
      <c r="J63" s="13" t="n"/>
      <c r="K63" s="13" t="n"/>
      <c r="L63" s="13" t="n"/>
      <c r="M63" s="17">
        <f>IF(A63="","",IFERROR(VLOOKUP(A63,Raw_CurrentMonth!A:O,15,FALSE)=TRUE,FALSE))</f>
        <v/>
      </c>
      <c r="N63" s="16">
        <f>IF(A63="","",IF(M63=TRUE,IFERROR(H63,0)+IFERROR(I63,0)+IFERROR(J63,0)+IFERROR(K63,0)+IFERROR(L63,0),0))</f>
        <v/>
      </c>
      <c r="O63" s="16">
        <f>IF(A63="","",IF(M63=TRUE,IFERROR(H63,0),0))</f>
        <v/>
      </c>
      <c r="P63" s="16">
        <f>IF(A63="","",IF(M63=TRUE,IFERROR(I63,0),0))</f>
        <v/>
      </c>
      <c r="Q63" s="16">
        <f>IF(A63="","",IF(M63=TRUE,IFERROR(J63,0),0))</f>
        <v/>
      </c>
      <c r="R63" s="16">
        <f>IF(A63="","",IF(M63=TRUE,IFERROR(K63,0),0))</f>
        <v/>
      </c>
      <c r="S63" s="16">
        <f>IF(A63="","",IF(M63=TRUE,IFERROR(L63,0),0))</f>
        <v/>
      </c>
      <c r="T63" s="16">
        <f>IF(A63="","",IF(M63=TRUE,IFERROR(H63,0)+IFERROR(I63,0)+IFERROR(L63,0),0))</f>
        <v/>
      </c>
    </row>
    <row r="64">
      <c r="A64" s="10" t="n"/>
      <c r="B64" s="10" t="n"/>
      <c r="C64" s="11" t="n"/>
      <c r="D64" s="11" t="n"/>
      <c r="E64" s="10" t="n"/>
      <c r="F64" s="10" t="n"/>
      <c r="G64" s="12" t="n"/>
      <c r="H64" s="13" t="n"/>
      <c r="I64" s="13" t="n"/>
      <c r="J64" s="13" t="n"/>
      <c r="K64" s="13" t="n"/>
      <c r="L64" s="13" t="n"/>
      <c r="M64" s="17">
        <f>IF(A64="","",IFERROR(VLOOKUP(A64,Raw_CurrentMonth!A:O,15,FALSE)=TRUE,FALSE))</f>
        <v/>
      </c>
      <c r="N64" s="16">
        <f>IF(A64="","",IF(M64=TRUE,IFERROR(H64,0)+IFERROR(I64,0)+IFERROR(J64,0)+IFERROR(K64,0)+IFERROR(L64,0),0))</f>
        <v/>
      </c>
      <c r="O64" s="16">
        <f>IF(A64="","",IF(M64=TRUE,IFERROR(H64,0),0))</f>
        <v/>
      </c>
      <c r="P64" s="16">
        <f>IF(A64="","",IF(M64=TRUE,IFERROR(I64,0),0))</f>
        <v/>
      </c>
      <c r="Q64" s="16">
        <f>IF(A64="","",IF(M64=TRUE,IFERROR(J64,0),0))</f>
        <v/>
      </c>
      <c r="R64" s="16">
        <f>IF(A64="","",IF(M64=TRUE,IFERROR(K64,0),0))</f>
        <v/>
      </c>
      <c r="S64" s="16">
        <f>IF(A64="","",IF(M64=TRUE,IFERROR(L64,0),0))</f>
        <v/>
      </c>
      <c r="T64" s="16">
        <f>IF(A64="","",IF(M64=TRUE,IFERROR(H64,0)+IFERROR(I64,0)+IFERROR(L64,0),0))</f>
        <v/>
      </c>
    </row>
    <row r="65">
      <c r="A65" s="10" t="n"/>
      <c r="B65" s="10" t="n"/>
      <c r="C65" s="11" t="n"/>
      <c r="D65" s="11" t="n"/>
      <c r="E65" s="10" t="n"/>
      <c r="F65" s="10" t="n"/>
      <c r="G65" s="12" t="n"/>
      <c r="H65" s="13" t="n"/>
      <c r="I65" s="13" t="n"/>
      <c r="J65" s="13" t="n"/>
      <c r="K65" s="13" t="n"/>
      <c r="L65" s="13" t="n"/>
      <c r="M65" s="17">
        <f>IF(A65="","",IFERROR(VLOOKUP(A65,Raw_CurrentMonth!A:O,15,FALSE)=TRUE,FALSE))</f>
        <v/>
      </c>
      <c r="N65" s="16">
        <f>IF(A65="","",IF(M65=TRUE,IFERROR(H65,0)+IFERROR(I65,0)+IFERROR(J65,0)+IFERROR(K65,0)+IFERROR(L65,0),0))</f>
        <v/>
      </c>
      <c r="O65" s="16">
        <f>IF(A65="","",IF(M65=TRUE,IFERROR(H65,0),0))</f>
        <v/>
      </c>
      <c r="P65" s="16">
        <f>IF(A65="","",IF(M65=TRUE,IFERROR(I65,0),0))</f>
        <v/>
      </c>
      <c r="Q65" s="16">
        <f>IF(A65="","",IF(M65=TRUE,IFERROR(J65,0),0))</f>
        <v/>
      </c>
      <c r="R65" s="16">
        <f>IF(A65="","",IF(M65=TRUE,IFERROR(K65,0),0))</f>
        <v/>
      </c>
      <c r="S65" s="16">
        <f>IF(A65="","",IF(M65=TRUE,IFERROR(L65,0),0))</f>
        <v/>
      </c>
      <c r="T65" s="16">
        <f>IF(A65="","",IF(M65=TRUE,IFERROR(H65,0)+IFERROR(I65,0)+IFERROR(L65,0),0))</f>
        <v/>
      </c>
    </row>
    <row r="66">
      <c r="A66" s="10" t="n"/>
      <c r="B66" s="10" t="n"/>
      <c r="C66" s="11" t="n"/>
      <c r="D66" s="11" t="n"/>
      <c r="E66" s="10" t="n"/>
      <c r="F66" s="10" t="n"/>
      <c r="G66" s="12" t="n"/>
      <c r="H66" s="13" t="n"/>
      <c r="I66" s="13" t="n"/>
      <c r="J66" s="13" t="n"/>
      <c r="K66" s="13" t="n"/>
      <c r="L66" s="13" t="n"/>
      <c r="M66" s="17">
        <f>IF(A66="","",IFERROR(VLOOKUP(A66,Raw_CurrentMonth!A:O,15,FALSE)=TRUE,FALSE))</f>
        <v/>
      </c>
      <c r="N66" s="16">
        <f>IF(A66="","",IF(M66=TRUE,IFERROR(H66,0)+IFERROR(I66,0)+IFERROR(J66,0)+IFERROR(K66,0)+IFERROR(L66,0),0))</f>
        <v/>
      </c>
      <c r="O66" s="16">
        <f>IF(A66="","",IF(M66=TRUE,IFERROR(H66,0),0))</f>
        <v/>
      </c>
      <c r="P66" s="16">
        <f>IF(A66="","",IF(M66=TRUE,IFERROR(I66,0),0))</f>
        <v/>
      </c>
      <c r="Q66" s="16">
        <f>IF(A66="","",IF(M66=TRUE,IFERROR(J66,0),0))</f>
        <v/>
      </c>
      <c r="R66" s="16">
        <f>IF(A66="","",IF(M66=TRUE,IFERROR(K66,0),0))</f>
        <v/>
      </c>
      <c r="S66" s="16">
        <f>IF(A66="","",IF(M66=TRUE,IFERROR(L66,0),0))</f>
        <v/>
      </c>
      <c r="T66" s="16">
        <f>IF(A66="","",IF(M66=TRUE,IFERROR(H66,0)+IFERROR(I66,0)+IFERROR(L66,0),0))</f>
        <v/>
      </c>
    </row>
    <row r="67">
      <c r="A67" s="10" t="n"/>
      <c r="B67" s="10" t="n"/>
      <c r="C67" s="11" t="n"/>
      <c r="D67" s="11" t="n"/>
      <c r="E67" s="10" t="n"/>
      <c r="F67" s="10" t="n"/>
      <c r="G67" s="12" t="n"/>
      <c r="H67" s="13" t="n"/>
      <c r="I67" s="13" t="n"/>
      <c r="J67" s="13" t="n"/>
      <c r="K67" s="13" t="n"/>
      <c r="L67" s="13" t="n"/>
      <c r="M67" s="17">
        <f>IF(A67="","",IFERROR(VLOOKUP(A67,Raw_CurrentMonth!A:O,15,FALSE)=TRUE,FALSE))</f>
        <v/>
      </c>
      <c r="N67" s="16">
        <f>IF(A67="","",IF(M67=TRUE,IFERROR(H67,0)+IFERROR(I67,0)+IFERROR(J67,0)+IFERROR(K67,0)+IFERROR(L67,0),0))</f>
        <v/>
      </c>
      <c r="O67" s="16">
        <f>IF(A67="","",IF(M67=TRUE,IFERROR(H67,0),0))</f>
        <v/>
      </c>
      <c r="P67" s="16">
        <f>IF(A67="","",IF(M67=TRUE,IFERROR(I67,0),0))</f>
        <v/>
      </c>
      <c r="Q67" s="16">
        <f>IF(A67="","",IF(M67=TRUE,IFERROR(J67,0),0))</f>
        <v/>
      </c>
      <c r="R67" s="16">
        <f>IF(A67="","",IF(M67=TRUE,IFERROR(K67,0),0))</f>
        <v/>
      </c>
      <c r="S67" s="16">
        <f>IF(A67="","",IF(M67=TRUE,IFERROR(L67,0),0))</f>
        <v/>
      </c>
      <c r="T67" s="16">
        <f>IF(A67="","",IF(M67=TRUE,IFERROR(H67,0)+IFERROR(I67,0)+IFERROR(L67,0),0))</f>
        <v/>
      </c>
    </row>
    <row r="68">
      <c r="A68" s="10" t="n"/>
      <c r="B68" s="10" t="n"/>
      <c r="C68" s="11" t="n"/>
      <c r="D68" s="11" t="n"/>
      <c r="E68" s="10" t="n"/>
      <c r="F68" s="10" t="n"/>
      <c r="G68" s="12" t="n"/>
      <c r="H68" s="13" t="n"/>
      <c r="I68" s="13" t="n"/>
      <c r="J68" s="13" t="n"/>
      <c r="K68" s="13" t="n"/>
      <c r="L68" s="13" t="n"/>
      <c r="M68" s="17">
        <f>IF(A68="","",IFERROR(VLOOKUP(A68,Raw_CurrentMonth!A:O,15,FALSE)=TRUE,FALSE))</f>
        <v/>
      </c>
      <c r="N68" s="16">
        <f>IF(A68="","",IF(M68=TRUE,IFERROR(H68,0)+IFERROR(I68,0)+IFERROR(J68,0)+IFERROR(K68,0)+IFERROR(L68,0),0))</f>
        <v/>
      </c>
      <c r="O68" s="16">
        <f>IF(A68="","",IF(M68=TRUE,IFERROR(H68,0),0))</f>
        <v/>
      </c>
      <c r="P68" s="16">
        <f>IF(A68="","",IF(M68=TRUE,IFERROR(I68,0),0))</f>
        <v/>
      </c>
      <c r="Q68" s="16">
        <f>IF(A68="","",IF(M68=TRUE,IFERROR(J68,0),0))</f>
        <v/>
      </c>
      <c r="R68" s="16">
        <f>IF(A68="","",IF(M68=TRUE,IFERROR(K68,0),0))</f>
        <v/>
      </c>
      <c r="S68" s="16">
        <f>IF(A68="","",IF(M68=TRUE,IFERROR(L68,0),0))</f>
        <v/>
      </c>
      <c r="T68" s="16">
        <f>IF(A68="","",IF(M68=TRUE,IFERROR(H68,0)+IFERROR(I68,0)+IFERROR(L68,0),0))</f>
        <v/>
      </c>
    </row>
    <row r="69">
      <c r="A69" s="10" t="n"/>
      <c r="B69" s="10" t="n"/>
      <c r="C69" s="11" t="n"/>
      <c r="D69" s="11" t="n"/>
      <c r="E69" s="10" t="n"/>
      <c r="F69" s="10" t="n"/>
      <c r="G69" s="12" t="n"/>
      <c r="H69" s="13" t="n"/>
      <c r="I69" s="13" t="n"/>
      <c r="J69" s="13" t="n"/>
      <c r="K69" s="13" t="n"/>
      <c r="L69" s="13" t="n"/>
      <c r="M69" s="17">
        <f>IF(A69="","",IFERROR(VLOOKUP(A69,Raw_CurrentMonth!A:O,15,FALSE)=TRUE,FALSE))</f>
        <v/>
      </c>
      <c r="N69" s="16">
        <f>IF(A69="","",IF(M69=TRUE,IFERROR(H69,0)+IFERROR(I69,0)+IFERROR(J69,0)+IFERROR(K69,0)+IFERROR(L69,0),0))</f>
        <v/>
      </c>
      <c r="O69" s="16">
        <f>IF(A69="","",IF(M69=TRUE,IFERROR(H69,0),0))</f>
        <v/>
      </c>
      <c r="P69" s="16">
        <f>IF(A69="","",IF(M69=TRUE,IFERROR(I69,0),0))</f>
        <v/>
      </c>
      <c r="Q69" s="16">
        <f>IF(A69="","",IF(M69=TRUE,IFERROR(J69,0),0))</f>
        <v/>
      </c>
      <c r="R69" s="16">
        <f>IF(A69="","",IF(M69=TRUE,IFERROR(K69,0),0))</f>
        <v/>
      </c>
      <c r="S69" s="16">
        <f>IF(A69="","",IF(M69=TRUE,IFERROR(L69,0),0))</f>
        <v/>
      </c>
      <c r="T69" s="16">
        <f>IF(A69="","",IF(M69=TRUE,IFERROR(H69,0)+IFERROR(I69,0)+IFERROR(L69,0),0))</f>
        <v/>
      </c>
    </row>
    <row r="70">
      <c r="A70" s="10" t="n"/>
      <c r="B70" s="10" t="n"/>
      <c r="C70" s="11" t="n"/>
      <c r="D70" s="11" t="n"/>
      <c r="E70" s="10" t="n"/>
      <c r="F70" s="10" t="n"/>
      <c r="G70" s="12" t="n"/>
      <c r="H70" s="13" t="n"/>
      <c r="I70" s="13" t="n"/>
      <c r="J70" s="13" t="n"/>
      <c r="K70" s="13" t="n"/>
      <c r="L70" s="13" t="n"/>
      <c r="M70" s="17">
        <f>IF(A70="","",IFERROR(VLOOKUP(A70,Raw_CurrentMonth!A:O,15,FALSE)=TRUE,FALSE))</f>
        <v/>
      </c>
      <c r="N70" s="16">
        <f>IF(A70="","",IF(M70=TRUE,IFERROR(H70,0)+IFERROR(I70,0)+IFERROR(J70,0)+IFERROR(K70,0)+IFERROR(L70,0),0))</f>
        <v/>
      </c>
      <c r="O70" s="16">
        <f>IF(A70="","",IF(M70=TRUE,IFERROR(H70,0),0))</f>
        <v/>
      </c>
      <c r="P70" s="16">
        <f>IF(A70="","",IF(M70=TRUE,IFERROR(I70,0),0))</f>
        <v/>
      </c>
      <c r="Q70" s="16">
        <f>IF(A70="","",IF(M70=TRUE,IFERROR(J70,0),0))</f>
        <v/>
      </c>
      <c r="R70" s="16">
        <f>IF(A70="","",IF(M70=TRUE,IFERROR(K70,0),0))</f>
        <v/>
      </c>
      <c r="S70" s="16">
        <f>IF(A70="","",IF(M70=TRUE,IFERROR(L70,0),0))</f>
        <v/>
      </c>
      <c r="T70" s="16">
        <f>IF(A70="","",IF(M70=TRUE,IFERROR(H70,0)+IFERROR(I70,0)+IFERROR(L70,0),0))</f>
        <v/>
      </c>
    </row>
    <row r="71">
      <c r="A71" s="10" t="n"/>
      <c r="B71" s="10" t="n"/>
      <c r="C71" s="11" t="n"/>
      <c r="D71" s="11" t="n"/>
      <c r="E71" s="10" t="n"/>
      <c r="F71" s="10" t="n"/>
      <c r="G71" s="12" t="n"/>
      <c r="H71" s="13" t="n"/>
      <c r="I71" s="13" t="n"/>
      <c r="J71" s="13" t="n"/>
      <c r="K71" s="13" t="n"/>
      <c r="L71" s="13" t="n"/>
      <c r="M71" s="17">
        <f>IF(A71="","",IFERROR(VLOOKUP(A71,Raw_CurrentMonth!A:O,15,FALSE)=TRUE,FALSE))</f>
        <v/>
      </c>
      <c r="N71" s="16">
        <f>IF(A71="","",IF(M71=TRUE,IFERROR(H71,0)+IFERROR(I71,0)+IFERROR(J71,0)+IFERROR(K71,0)+IFERROR(L71,0),0))</f>
        <v/>
      </c>
      <c r="O71" s="16">
        <f>IF(A71="","",IF(M71=TRUE,IFERROR(H71,0),0))</f>
        <v/>
      </c>
      <c r="P71" s="16">
        <f>IF(A71="","",IF(M71=TRUE,IFERROR(I71,0),0))</f>
        <v/>
      </c>
      <c r="Q71" s="16">
        <f>IF(A71="","",IF(M71=TRUE,IFERROR(J71,0),0))</f>
        <v/>
      </c>
      <c r="R71" s="16">
        <f>IF(A71="","",IF(M71=TRUE,IFERROR(K71,0),0))</f>
        <v/>
      </c>
      <c r="S71" s="16">
        <f>IF(A71="","",IF(M71=TRUE,IFERROR(L71,0),0))</f>
        <v/>
      </c>
      <c r="T71" s="16">
        <f>IF(A71="","",IF(M71=TRUE,IFERROR(H71,0)+IFERROR(I71,0)+IFERROR(L71,0),0))</f>
        <v/>
      </c>
    </row>
    <row r="72">
      <c r="A72" s="10" t="n"/>
      <c r="B72" s="10" t="n"/>
      <c r="C72" s="11" t="n"/>
      <c r="D72" s="11" t="n"/>
      <c r="E72" s="10" t="n"/>
      <c r="F72" s="10" t="n"/>
      <c r="G72" s="12" t="n"/>
      <c r="H72" s="13" t="n"/>
      <c r="I72" s="13" t="n"/>
      <c r="J72" s="13" t="n"/>
      <c r="K72" s="13" t="n"/>
      <c r="L72" s="13" t="n"/>
      <c r="M72" s="17">
        <f>IF(A72="","",IFERROR(VLOOKUP(A72,Raw_CurrentMonth!A:O,15,FALSE)=TRUE,FALSE))</f>
        <v/>
      </c>
      <c r="N72" s="16">
        <f>IF(A72="","",IF(M72=TRUE,IFERROR(H72,0)+IFERROR(I72,0)+IFERROR(J72,0)+IFERROR(K72,0)+IFERROR(L72,0),0))</f>
        <v/>
      </c>
      <c r="O72" s="16">
        <f>IF(A72="","",IF(M72=TRUE,IFERROR(H72,0),0))</f>
        <v/>
      </c>
      <c r="P72" s="16">
        <f>IF(A72="","",IF(M72=TRUE,IFERROR(I72,0),0))</f>
        <v/>
      </c>
      <c r="Q72" s="16">
        <f>IF(A72="","",IF(M72=TRUE,IFERROR(J72,0),0))</f>
        <v/>
      </c>
      <c r="R72" s="16">
        <f>IF(A72="","",IF(M72=TRUE,IFERROR(K72,0),0))</f>
        <v/>
      </c>
      <c r="S72" s="16">
        <f>IF(A72="","",IF(M72=TRUE,IFERROR(L72,0),0))</f>
        <v/>
      </c>
      <c r="T72" s="16">
        <f>IF(A72="","",IF(M72=TRUE,IFERROR(H72,0)+IFERROR(I72,0)+IFERROR(L72,0),0))</f>
        <v/>
      </c>
    </row>
    <row r="73">
      <c r="A73" s="10" t="n"/>
      <c r="B73" s="10" t="n"/>
      <c r="C73" s="11" t="n"/>
      <c r="D73" s="11" t="n"/>
      <c r="E73" s="10" t="n"/>
      <c r="F73" s="10" t="n"/>
      <c r="G73" s="12" t="n"/>
      <c r="H73" s="13" t="n"/>
      <c r="I73" s="13" t="n"/>
      <c r="J73" s="13" t="n"/>
      <c r="K73" s="13" t="n"/>
      <c r="L73" s="13" t="n"/>
      <c r="M73" s="17">
        <f>IF(A73="","",IFERROR(VLOOKUP(A73,Raw_CurrentMonth!A:O,15,FALSE)=TRUE,FALSE))</f>
        <v/>
      </c>
      <c r="N73" s="16">
        <f>IF(A73="","",IF(M73=TRUE,IFERROR(H73,0)+IFERROR(I73,0)+IFERROR(J73,0)+IFERROR(K73,0)+IFERROR(L73,0),0))</f>
        <v/>
      </c>
      <c r="O73" s="16">
        <f>IF(A73="","",IF(M73=TRUE,IFERROR(H73,0),0))</f>
        <v/>
      </c>
      <c r="P73" s="16">
        <f>IF(A73="","",IF(M73=TRUE,IFERROR(I73,0),0))</f>
        <v/>
      </c>
      <c r="Q73" s="16">
        <f>IF(A73="","",IF(M73=TRUE,IFERROR(J73,0),0))</f>
        <v/>
      </c>
      <c r="R73" s="16">
        <f>IF(A73="","",IF(M73=TRUE,IFERROR(K73,0),0))</f>
        <v/>
      </c>
      <c r="S73" s="16">
        <f>IF(A73="","",IF(M73=TRUE,IFERROR(L73,0),0))</f>
        <v/>
      </c>
      <c r="T73" s="16">
        <f>IF(A73="","",IF(M73=TRUE,IFERROR(H73,0)+IFERROR(I73,0)+IFERROR(L73,0),0))</f>
        <v/>
      </c>
    </row>
    <row r="74">
      <c r="A74" s="10" t="n"/>
      <c r="B74" s="10" t="n"/>
      <c r="C74" s="11" t="n"/>
      <c r="D74" s="11" t="n"/>
      <c r="E74" s="10" t="n"/>
      <c r="F74" s="10" t="n"/>
      <c r="G74" s="12" t="n"/>
      <c r="H74" s="13" t="n"/>
      <c r="I74" s="13" t="n"/>
      <c r="J74" s="13" t="n"/>
      <c r="K74" s="13" t="n"/>
      <c r="L74" s="13" t="n"/>
      <c r="M74" s="17">
        <f>IF(A74="","",IFERROR(VLOOKUP(A74,Raw_CurrentMonth!A:O,15,FALSE)=TRUE,FALSE))</f>
        <v/>
      </c>
      <c r="N74" s="16">
        <f>IF(A74="","",IF(M74=TRUE,IFERROR(H74,0)+IFERROR(I74,0)+IFERROR(J74,0)+IFERROR(K74,0)+IFERROR(L74,0),0))</f>
        <v/>
      </c>
      <c r="O74" s="16">
        <f>IF(A74="","",IF(M74=TRUE,IFERROR(H74,0),0))</f>
        <v/>
      </c>
      <c r="P74" s="16">
        <f>IF(A74="","",IF(M74=TRUE,IFERROR(I74,0),0))</f>
        <v/>
      </c>
      <c r="Q74" s="16">
        <f>IF(A74="","",IF(M74=TRUE,IFERROR(J74,0),0))</f>
        <v/>
      </c>
      <c r="R74" s="16">
        <f>IF(A74="","",IF(M74=TRUE,IFERROR(K74,0),0))</f>
        <v/>
      </c>
      <c r="S74" s="16">
        <f>IF(A74="","",IF(M74=TRUE,IFERROR(L74,0),0))</f>
        <v/>
      </c>
      <c r="T74" s="16">
        <f>IF(A74="","",IF(M74=TRUE,IFERROR(H74,0)+IFERROR(I74,0)+IFERROR(L74,0),0))</f>
        <v/>
      </c>
    </row>
    <row r="75">
      <c r="A75" s="10" t="n"/>
      <c r="B75" s="10" t="n"/>
      <c r="C75" s="11" t="n"/>
      <c r="D75" s="11" t="n"/>
      <c r="E75" s="10" t="n"/>
      <c r="F75" s="10" t="n"/>
      <c r="G75" s="12" t="n"/>
      <c r="H75" s="13" t="n"/>
      <c r="I75" s="13" t="n"/>
      <c r="J75" s="13" t="n"/>
      <c r="K75" s="13" t="n"/>
      <c r="L75" s="13" t="n"/>
      <c r="M75" s="17">
        <f>IF(A75="","",IFERROR(VLOOKUP(A75,Raw_CurrentMonth!A:O,15,FALSE)=TRUE,FALSE))</f>
        <v/>
      </c>
      <c r="N75" s="16">
        <f>IF(A75="","",IF(M75=TRUE,IFERROR(H75,0)+IFERROR(I75,0)+IFERROR(J75,0)+IFERROR(K75,0)+IFERROR(L75,0),0))</f>
        <v/>
      </c>
      <c r="O75" s="16">
        <f>IF(A75="","",IF(M75=TRUE,IFERROR(H75,0),0))</f>
        <v/>
      </c>
      <c r="P75" s="16">
        <f>IF(A75="","",IF(M75=TRUE,IFERROR(I75,0),0))</f>
        <v/>
      </c>
      <c r="Q75" s="16">
        <f>IF(A75="","",IF(M75=TRUE,IFERROR(J75,0),0))</f>
        <v/>
      </c>
      <c r="R75" s="16">
        <f>IF(A75="","",IF(M75=TRUE,IFERROR(K75,0),0))</f>
        <v/>
      </c>
      <c r="S75" s="16">
        <f>IF(A75="","",IF(M75=TRUE,IFERROR(L75,0),0))</f>
        <v/>
      </c>
      <c r="T75" s="16">
        <f>IF(A75="","",IF(M75=TRUE,IFERROR(H75,0)+IFERROR(I75,0)+IFERROR(L75,0),0))</f>
        <v/>
      </c>
    </row>
    <row r="76">
      <c r="A76" s="10" t="n"/>
      <c r="B76" s="10" t="n"/>
      <c r="C76" s="11" t="n"/>
      <c r="D76" s="11" t="n"/>
      <c r="E76" s="10" t="n"/>
      <c r="F76" s="10" t="n"/>
      <c r="G76" s="12" t="n"/>
      <c r="H76" s="13" t="n"/>
      <c r="I76" s="13" t="n"/>
      <c r="J76" s="13" t="n"/>
      <c r="K76" s="13" t="n"/>
      <c r="L76" s="13" t="n"/>
      <c r="M76" s="17">
        <f>IF(A76="","",IFERROR(VLOOKUP(A76,Raw_CurrentMonth!A:O,15,FALSE)=TRUE,FALSE))</f>
        <v/>
      </c>
      <c r="N76" s="16">
        <f>IF(A76="","",IF(M76=TRUE,IFERROR(H76,0)+IFERROR(I76,0)+IFERROR(J76,0)+IFERROR(K76,0)+IFERROR(L76,0),0))</f>
        <v/>
      </c>
      <c r="O76" s="16">
        <f>IF(A76="","",IF(M76=TRUE,IFERROR(H76,0),0))</f>
        <v/>
      </c>
      <c r="P76" s="16">
        <f>IF(A76="","",IF(M76=TRUE,IFERROR(I76,0),0))</f>
        <v/>
      </c>
      <c r="Q76" s="16">
        <f>IF(A76="","",IF(M76=TRUE,IFERROR(J76,0),0))</f>
        <v/>
      </c>
      <c r="R76" s="16">
        <f>IF(A76="","",IF(M76=TRUE,IFERROR(K76,0),0))</f>
        <v/>
      </c>
      <c r="S76" s="16">
        <f>IF(A76="","",IF(M76=TRUE,IFERROR(L76,0),0))</f>
        <v/>
      </c>
      <c r="T76" s="16">
        <f>IF(A76="","",IF(M76=TRUE,IFERROR(H76,0)+IFERROR(I76,0)+IFERROR(L76,0),0))</f>
        <v/>
      </c>
    </row>
    <row r="77">
      <c r="A77" s="10" t="n"/>
      <c r="B77" s="10" t="n"/>
      <c r="C77" s="11" t="n"/>
      <c r="D77" s="11" t="n"/>
      <c r="E77" s="10" t="n"/>
      <c r="F77" s="10" t="n"/>
      <c r="G77" s="12" t="n"/>
      <c r="H77" s="13" t="n"/>
      <c r="I77" s="13" t="n"/>
      <c r="J77" s="13" t="n"/>
      <c r="K77" s="13" t="n"/>
      <c r="L77" s="13" t="n"/>
      <c r="M77" s="17">
        <f>IF(A77="","",IFERROR(VLOOKUP(A77,Raw_CurrentMonth!A:O,15,FALSE)=TRUE,FALSE))</f>
        <v/>
      </c>
      <c r="N77" s="16">
        <f>IF(A77="","",IF(M77=TRUE,IFERROR(H77,0)+IFERROR(I77,0)+IFERROR(J77,0)+IFERROR(K77,0)+IFERROR(L77,0),0))</f>
        <v/>
      </c>
      <c r="O77" s="16">
        <f>IF(A77="","",IF(M77=TRUE,IFERROR(H77,0),0))</f>
        <v/>
      </c>
      <c r="P77" s="16">
        <f>IF(A77="","",IF(M77=TRUE,IFERROR(I77,0),0))</f>
        <v/>
      </c>
      <c r="Q77" s="16">
        <f>IF(A77="","",IF(M77=TRUE,IFERROR(J77,0),0))</f>
        <v/>
      </c>
      <c r="R77" s="16">
        <f>IF(A77="","",IF(M77=TRUE,IFERROR(K77,0),0))</f>
        <v/>
      </c>
      <c r="S77" s="16">
        <f>IF(A77="","",IF(M77=TRUE,IFERROR(L77,0),0))</f>
        <v/>
      </c>
      <c r="T77" s="16">
        <f>IF(A77="","",IF(M77=TRUE,IFERROR(H77,0)+IFERROR(I77,0)+IFERROR(L77,0),0))</f>
        <v/>
      </c>
    </row>
    <row r="78">
      <c r="A78" s="10" t="n"/>
      <c r="B78" s="10" t="n"/>
      <c r="C78" s="11" t="n"/>
      <c r="D78" s="11" t="n"/>
      <c r="E78" s="10" t="n"/>
      <c r="F78" s="10" t="n"/>
      <c r="G78" s="12" t="n"/>
      <c r="H78" s="13" t="n"/>
      <c r="I78" s="13" t="n"/>
      <c r="J78" s="13" t="n"/>
      <c r="K78" s="13" t="n"/>
      <c r="L78" s="13" t="n"/>
      <c r="M78" s="17">
        <f>IF(A78="","",IFERROR(VLOOKUP(A78,Raw_CurrentMonth!A:O,15,FALSE)=TRUE,FALSE))</f>
        <v/>
      </c>
      <c r="N78" s="16">
        <f>IF(A78="","",IF(M78=TRUE,IFERROR(H78,0)+IFERROR(I78,0)+IFERROR(J78,0)+IFERROR(K78,0)+IFERROR(L78,0),0))</f>
        <v/>
      </c>
      <c r="O78" s="16">
        <f>IF(A78="","",IF(M78=TRUE,IFERROR(H78,0),0))</f>
        <v/>
      </c>
      <c r="P78" s="16">
        <f>IF(A78="","",IF(M78=TRUE,IFERROR(I78,0),0))</f>
        <v/>
      </c>
      <c r="Q78" s="16">
        <f>IF(A78="","",IF(M78=TRUE,IFERROR(J78,0),0))</f>
        <v/>
      </c>
      <c r="R78" s="16">
        <f>IF(A78="","",IF(M78=TRUE,IFERROR(K78,0),0))</f>
        <v/>
      </c>
      <c r="S78" s="16">
        <f>IF(A78="","",IF(M78=TRUE,IFERROR(L78,0),0))</f>
        <v/>
      </c>
      <c r="T78" s="16">
        <f>IF(A78="","",IF(M78=TRUE,IFERROR(H78,0)+IFERROR(I78,0)+IFERROR(L78,0),0))</f>
        <v/>
      </c>
    </row>
    <row r="79">
      <c r="A79" s="10" t="n"/>
      <c r="B79" s="10" t="n"/>
      <c r="C79" s="11" t="n"/>
      <c r="D79" s="11" t="n"/>
      <c r="E79" s="10" t="n"/>
      <c r="F79" s="10" t="n"/>
      <c r="G79" s="12" t="n"/>
      <c r="H79" s="13" t="n"/>
      <c r="I79" s="13" t="n"/>
      <c r="J79" s="13" t="n"/>
      <c r="K79" s="13" t="n"/>
      <c r="L79" s="13" t="n"/>
      <c r="M79" s="17">
        <f>IF(A79="","",IFERROR(VLOOKUP(A79,Raw_CurrentMonth!A:O,15,FALSE)=TRUE,FALSE))</f>
        <v/>
      </c>
      <c r="N79" s="16">
        <f>IF(A79="","",IF(M79=TRUE,IFERROR(H79,0)+IFERROR(I79,0)+IFERROR(J79,0)+IFERROR(K79,0)+IFERROR(L79,0),0))</f>
        <v/>
      </c>
      <c r="O79" s="16">
        <f>IF(A79="","",IF(M79=TRUE,IFERROR(H79,0),0))</f>
        <v/>
      </c>
      <c r="P79" s="16">
        <f>IF(A79="","",IF(M79=TRUE,IFERROR(I79,0),0))</f>
        <v/>
      </c>
      <c r="Q79" s="16">
        <f>IF(A79="","",IF(M79=TRUE,IFERROR(J79,0),0))</f>
        <v/>
      </c>
      <c r="R79" s="16">
        <f>IF(A79="","",IF(M79=TRUE,IFERROR(K79,0),0))</f>
        <v/>
      </c>
      <c r="S79" s="16">
        <f>IF(A79="","",IF(M79=TRUE,IFERROR(L79,0),0))</f>
        <v/>
      </c>
      <c r="T79" s="16">
        <f>IF(A79="","",IF(M79=TRUE,IFERROR(H79,0)+IFERROR(I79,0)+IFERROR(L79,0),0))</f>
        <v/>
      </c>
    </row>
    <row r="80">
      <c r="A80" s="10" t="n"/>
      <c r="B80" s="10" t="n"/>
      <c r="C80" s="11" t="n"/>
      <c r="D80" s="11" t="n"/>
      <c r="E80" s="10" t="n"/>
      <c r="F80" s="10" t="n"/>
      <c r="G80" s="12" t="n"/>
      <c r="H80" s="13" t="n"/>
      <c r="I80" s="13" t="n"/>
      <c r="J80" s="13" t="n"/>
      <c r="K80" s="13" t="n"/>
      <c r="L80" s="13" t="n"/>
      <c r="M80" s="17">
        <f>IF(A80="","",IFERROR(VLOOKUP(A80,Raw_CurrentMonth!A:O,15,FALSE)=TRUE,FALSE))</f>
        <v/>
      </c>
      <c r="N80" s="16">
        <f>IF(A80="","",IF(M80=TRUE,IFERROR(H80,0)+IFERROR(I80,0)+IFERROR(J80,0)+IFERROR(K80,0)+IFERROR(L80,0),0))</f>
        <v/>
      </c>
      <c r="O80" s="16">
        <f>IF(A80="","",IF(M80=TRUE,IFERROR(H80,0),0))</f>
        <v/>
      </c>
      <c r="P80" s="16">
        <f>IF(A80="","",IF(M80=TRUE,IFERROR(I80,0),0))</f>
        <v/>
      </c>
      <c r="Q80" s="16">
        <f>IF(A80="","",IF(M80=TRUE,IFERROR(J80,0),0))</f>
        <v/>
      </c>
      <c r="R80" s="16">
        <f>IF(A80="","",IF(M80=TRUE,IFERROR(K80,0),0))</f>
        <v/>
      </c>
      <c r="S80" s="16">
        <f>IF(A80="","",IF(M80=TRUE,IFERROR(L80,0),0))</f>
        <v/>
      </c>
      <c r="T80" s="16">
        <f>IF(A80="","",IF(M80=TRUE,IFERROR(H80,0)+IFERROR(I80,0)+IFERROR(L80,0),0))</f>
        <v/>
      </c>
    </row>
    <row r="81">
      <c r="A81" s="10" t="n"/>
      <c r="B81" s="10" t="n"/>
      <c r="C81" s="11" t="n"/>
      <c r="D81" s="11" t="n"/>
      <c r="E81" s="10" t="n"/>
      <c r="F81" s="10" t="n"/>
      <c r="G81" s="12" t="n"/>
      <c r="H81" s="13" t="n"/>
      <c r="I81" s="13" t="n"/>
      <c r="J81" s="13" t="n"/>
      <c r="K81" s="13" t="n"/>
      <c r="L81" s="13" t="n"/>
      <c r="M81" s="17">
        <f>IF(A81="","",IFERROR(VLOOKUP(A81,Raw_CurrentMonth!A:O,15,FALSE)=TRUE,FALSE))</f>
        <v/>
      </c>
      <c r="N81" s="16">
        <f>IF(A81="","",IF(M81=TRUE,IFERROR(H81,0)+IFERROR(I81,0)+IFERROR(J81,0)+IFERROR(K81,0)+IFERROR(L81,0),0))</f>
        <v/>
      </c>
      <c r="O81" s="16">
        <f>IF(A81="","",IF(M81=TRUE,IFERROR(H81,0),0))</f>
        <v/>
      </c>
      <c r="P81" s="16">
        <f>IF(A81="","",IF(M81=TRUE,IFERROR(I81,0),0))</f>
        <v/>
      </c>
      <c r="Q81" s="16">
        <f>IF(A81="","",IF(M81=TRUE,IFERROR(J81,0),0))</f>
        <v/>
      </c>
      <c r="R81" s="16">
        <f>IF(A81="","",IF(M81=TRUE,IFERROR(K81,0),0))</f>
        <v/>
      </c>
      <c r="S81" s="16">
        <f>IF(A81="","",IF(M81=TRUE,IFERROR(L81,0),0))</f>
        <v/>
      </c>
      <c r="T81" s="16">
        <f>IF(A81="","",IF(M81=TRUE,IFERROR(H81,0)+IFERROR(I81,0)+IFERROR(L81,0),0))</f>
        <v/>
      </c>
    </row>
    <row r="82">
      <c r="A82" s="10" t="n"/>
      <c r="B82" s="10" t="n"/>
      <c r="C82" s="11" t="n"/>
      <c r="D82" s="11" t="n"/>
      <c r="E82" s="10" t="n"/>
      <c r="F82" s="10" t="n"/>
      <c r="G82" s="12" t="n"/>
      <c r="H82" s="13" t="n"/>
      <c r="I82" s="13" t="n"/>
      <c r="J82" s="13" t="n"/>
      <c r="K82" s="13" t="n"/>
      <c r="L82" s="13" t="n"/>
      <c r="M82" s="17">
        <f>IF(A82="","",IFERROR(VLOOKUP(A82,Raw_CurrentMonth!A:O,15,FALSE)=TRUE,FALSE))</f>
        <v/>
      </c>
      <c r="N82" s="16">
        <f>IF(A82="","",IF(M82=TRUE,IFERROR(H82,0)+IFERROR(I82,0)+IFERROR(J82,0)+IFERROR(K82,0)+IFERROR(L82,0),0))</f>
        <v/>
      </c>
      <c r="O82" s="16">
        <f>IF(A82="","",IF(M82=TRUE,IFERROR(H82,0),0))</f>
        <v/>
      </c>
      <c r="P82" s="16">
        <f>IF(A82="","",IF(M82=TRUE,IFERROR(I82,0),0))</f>
        <v/>
      </c>
      <c r="Q82" s="16">
        <f>IF(A82="","",IF(M82=TRUE,IFERROR(J82,0),0))</f>
        <v/>
      </c>
      <c r="R82" s="16">
        <f>IF(A82="","",IF(M82=TRUE,IFERROR(K82,0),0))</f>
        <v/>
      </c>
      <c r="S82" s="16">
        <f>IF(A82="","",IF(M82=TRUE,IFERROR(L82,0),0))</f>
        <v/>
      </c>
      <c r="T82" s="16">
        <f>IF(A82="","",IF(M82=TRUE,IFERROR(H82,0)+IFERROR(I82,0)+IFERROR(L82,0),0))</f>
        <v/>
      </c>
    </row>
    <row r="83">
      <c r="A83" s="10" t="n"/>
      <c r="B83" s="10" t="n"/>
      <c r="C83" s="11" t="n"/>
      <c r="D83" s="11" t="n"/>
      <c r="E83" s="10" t="n"/>
      <c r="F83" s="10" t="n"/>
      <c r="G83" s="12" t="n"/>
      <c r="H83" s="13" t="n"/>
      <c r="I83" s="13" t="n"/>
      <c r="J83" s="13" t="n"/>
      <c r="K83" s="13" t="n"/>
      <c r="L83" s="13" t="n"/>
      <c r="M83" s="17">
        <f>IF(A83="","",IFERROR(VLOOKUP(A83,Raw_CurrentMonth!A:O,15,FALSE)=TRUE,FALSE))</f>
        <v/>
      </c>
      <c r="N83" s="16">
        <f>IF(A83="","",IF(M83=TRUE,IFERROR(H83,0)+IFERROR(I83,0)+IFERROR(J83,0)+IFERROR(K83,0)+IFERROR(L83,0),0))</f>
        <v/>
      </c>
      <c r="O83" s="16">
        <f>IF(A83="","",IF(M83=TRUE,IFERROR(H83,0),0))</f>
        <v/>
      </c>
      <c r="P83" s="16">
        <f>IF(A83="","",IF(M83=TRUE,IFERROR(I83,0),0))</f>
        <v/>
      </c>
      <c r="Q83" s="16">
        <f>IF(A83="","",IF(M83=TRUE,IFERROR(J83,0),0))</f>
        <v/>
      </c>
      <c r="R83" s="16">
        <f>IF(A83="","",IF(M83=TRUE,IFERROR(K83,0),0))</f>
        <v/>
      </c>
      <c r="S83" s="16">
        <f>IF(A83="","",IF(M83=TRUE,IFERROR(L83,0),0))</f>
        <v/>
      </c>
      <c r="T83" s="16">
        <f>IF(A83="","",IF(M83=TRUE,IFERROR(H83,0)+IFERROR(I83,0)+IFERROR(L83,0),0))</f>
        <v/>
      </c>
    </row>
    <row r="84">
      <c r="A84" s="10" t="n"/>
      <c r="B84" s="10" t="n"/>
      <c r="C84" s="11" t="n"/>
      <c r="D84" s="11" t="n"/>
      <c r="E84" s="10" t="n"/>
      <c r="F84" s="10" t="n"/>
      <c r="G84" s="12" t="n"/>
      <c r="H84" s="13" t="n"/>
      <c r="I84" s="13" t="n"/>
      <c r="J84" s="13" t="n"/>
      <c r="K84" s="13" t="n"/>
      <c r="L84" s="13" t="n"/>
      <c r="M84" s="17">
        <f>IF(A84="","",IFERROR(VLOOKUP(A84,Raw_CurrentMonth!A:O,15,FALSE)=TRUE,FALSE))</f>
        <v/>
      </c>
      <c r="N84" s="16">
        <f>IF(A84="","",IF(M84=TRUE,IFERROR(H84,0)+IFERROR(I84,0)+IFERROR(J84,0)+IFERROR(K84,0)+IFERROR(L84,0),0))</f>
        <v/>
      </c>
      <c r="O84" s="16">
        <f>IF(A84="","",IF(M84=TRUE,IFERROR(H84,0),0))</f>
        <v/>
      </c>
      <c r="P84" s="16">
        <f>IF(A84="","",IF(M84=TRUE,IFERROR(I84,0),0))</f>
        <v/>
      </c>
      <c r="Q84" s="16">
        <f>IF(A84="","",IF(M84=TRUE,IFERROR(J84,0),0))</f>
        <v/>
      </c>
      <c r="R84" s="16">
        <f>IF(A84="","",IF(M84=TRUE,IFERROR(K84,0),0))</f>
        <v/>
      </c>
      <c r="S84" s="16">
        <f>IF(A84="","",IF(M84=TRUE,IFERROR(L84,0),0))</f>
        <v/>
      </c>
      <c r="T84" s="16">
        <f>IF(A84="","",IF(M84=TRUE,IFERROR(H84,0)+IFERROR(I84,0)+IFERROR(L84,0),0))</f>
        <v/>
      </c>
    </row>
    <row r="85">
      <c r="A85" s="10" t="n"/>
      <c r="B85" s="10" t="n"/>
      <c r="C85" s="11" t="n"/>
      <c r="D85" s="11" t="n"/>
      <c r="E85" s="10" t="n"/>
      <c r="F85" s="10" t="n"/>
      <c r="G85" s="12" t="n"/>
      <c r="H85" s="13" t="n"/>
      <c r="I85" s="13" t="n"/>
      <c r="J85" s="13" t="n"/>
      <c r="K85" s="13" t="n"/>
      <c r="L85" s="13" t="n"/>
      <c r="M85" s="17">
        <f>IF(A85="","",IFERROR(VLOOKUP(A85,Raw_CurrentMonth!A:O,15,FALSE)=TRUE,FALSE))</f>
        <v/>
      </c>
      <c r="N85" s="16">
        <f>IF(A85="","",IF(M85=TRUE,IFERROR(H85,0)+IFERROR(I85,0)+IFERROR(J85,0)+IFERROR(K85,0)+IFERROR(L85,0),0))</f>
        <v/>
      </c>
      <c r="O85" s="16">
        <f>IF(A85="","",IF(M85=TRUE,IFERROR(H85,0),0))</f>
        <v/>
      </c>
      <c r="P85" s="16">
        <f>IF(A85="","",IF(M85=TRUE,IFERROR(I85,0),0))</f>
        <v/>
      </c>
      <c r="Q85" s="16">
        <f>IF(A85="","",IF(M85=TRUE,IFERROR(J85,0),0))</f>
        <v/>
      </c>
      <c r="R85" s="16">
        <f>IF(A85="","",IF(M85=TRUE,IFERROR(K85,0),0))</f>
        <v/>
      </c>
      <c r="S85" s="16">
        <f>IF(A85="","",IF(M85=TRUE,IFERROR(L85,0),0))</f>
        <v/>
      </c>
      <c r="T85" s="16">
        <f>IF(A85="","",IF(M85=TRUE,IFERROR(H85,0)+IFERROR(I85,0)+IFERROR(L85,0),0))</f>
        <v/>
      </c>
    </row>
    <row r="86">
      <c r="A86" s="10" t="n"/>
      <c r="B86" s="10" t="n"/>
      <c r="C86" s="11" t="n"/>
      <c r="D86" s="11" t="n"/>
      <c r="E86" s="10" t="n"/>
      <c r="F86" s="10" t="n"/>
      <c r="G86" s="12" t="n"/>
      <c r="H86" s="13" t="n"/>
      <c r="I86" s="13" t="n"/>
      <c r="J86" s="13" t="n"/>
      <c r="K86" s="13" t="n"/>
      <c r="L86" s="13" t="n"/>
      <c r="M86" s="17">
        <f>IF(A86="","",IFERROR(VLOOKUP(A86,Raw_CurrentMonth!A:O,15,FALSE)=TRUE,FALSE))</f>
        <v/>
      </c>
      <c r="N86" s="16">
        <f>IF(A86="","",IF(M86=TRUE,IFERROR(H86,0)+IFERROR(I86,0)+IFERROR(J86,0)+IFERROR(K86,0)+IFERROR(L86,0),0))</f>
        <v/>
      </c>
      <c r="O86" s="16">
        <f>IF(A86="","",IF(M86=TRUE,IFERROR(H86,0),0))</f>
        <v/>
      </c>
      <c r="P86" s="16">
        <f>IF(A86="","",IF(M86=TRUE,IFERROR(I86,0),0))</f>
        <v/>
      </c>
      <c r="Q86" s="16">
        <f>IF(A86="","",IF(M86=TRUE,IFERROR(J86,0),0))</f>
        <v/>
      </c>
      <c r="R86" s="16">
        <f>IF(A86="","",IF(M86=TRUE,IFERROR(K86,0),0))</f>
        <v/>
      </c>
      <c r="S86" s="16">
        <f>IF(A86="","",IF(M86=TRUE,IFERROR(L86,0),0))</f>
        <v/>
      </c>
      <c r="T86" s="16">
        <f>IF(A86="","",IF(M86=TRUE,IFERROR(H86,0)+IFERROR(I86,0)+IFERROR(L86,0),0))</f>
        <v/>
      </c>
    </row>
    <row r="87">
      <c r="A87" s="10" t="n"/>
      <c r="B87" s="10" t="n"/>
      <c r="C87" s="11" t="n"/>
      <c r="D87" s="11" t="n"/>
      <c r="E87" s="10" t="n"/>
      <c r="F87" s="10" t="n"/>
      <c r="G87" s="12" t="n"/>
      <c r="H87" s="13" t="n"/>
      <c r="I87" s="13" t="n"/>
      <c r="J87" s="13" t="n"/>
      <c r="K87" s="13" t="n"/>
      <c r="L87" s="13" t="n"/>
      <c r="M87" s="17">
        <f>IF(A87="","",IFERROR(VLOOKUP(A87,Raw_CurrentMonth!A:O,15,FALSE)=TRUE,FALSE))</f>
        <v/>
      </c>
      <c r="N87" s="16">
        <f>IF(A87="","",IF(M87=TRUE,IFERROR(H87,0)+IFERROR(I87,0)+IFERROR(J87,0)+IFERROR(K87,0)+IFERROR(L87,0),0))</f>
        <v/>
      </c>
      <c r="O87" s="16">
        <f>IF(A87="","",IF(M87=TRUE,IFERROR(H87,0),0))</f>
        <v/>
      </c>
      <c r="P87" s="16">
        <f>IF(A87="","",IF(M87=TRUE,IFERROR(I87,0),0))</f>
        <v/>
      </c>
      <c r="Q87" s="16">
        <f>IF(A87="","",IF(M87=TRUE,IFERROR(J87,0),0))</f>
        <v/>
      </c>
      <c r="R87" s="16">
        <f>IF(A87="","",IF(M87=TRUE,IFERROR(K87,0),0))</f>
        <v/>
      </c>
      <c r="S87" s="16">
        <f>IF(A87="","",IF(M87=TRUE,IFERROR(L87,0),0))</f>
        <v/>
      </c>
      <c r="T87" s="16">
        <f>IF(A87="","",IF(M87=TRUE,IFERROR(H87,0)+IFERROR(I87,0)+IFERROR(L87,0),0))</f>
        <v/>
      </c>
    </row>
    <row r="88">
      <c r="A88" s="10" t="n"/>
      <c r="B88" s="10" t="n"/>
      <c r="C88" s="11" t="n"/>
      <c r="D88" s="11" t="n"/>
      <c r="E88" s="10" t="n"/>
      <c r="F88" s="10" t="n"/>
      <c r="G88" s="12" t="n"/>
      <c r="H88" s="13" t="n"/>
      <c r="I88" s="13" t="n"/>
      <c r="J88" s="13" t="n"/>
      <c r="K88" s="13" t="n"/>
      <c r="L88" s="13" t="n"/>
      <c r="M88" s="17">
        <f>IF(A88="","",IFERROR(VLOOKUP(A88,Raw_CurrentMonth!A:O,15,FALSE)=TRUE,FALSE))</f>
        <v/>
      </c>
      <c r="N88" s="16">
        <f>IF(A88="","",IF(M88=TRUE,IFERROR(H88,0)+IFERROR(I88,0)+IFERROR(J88,0)+IFERROR(K88,0)+IFERROR(L88,0),0))</f>
        <v/>
      </c>
      <c r="O88" s="16">
        <f>IF(A88="","",IF(M88=TRUE,IFERROR(H88,0),0))</f>
        <v/>
      </c>
      <c r="P88" s="16">
        <f>IF(A88="","",IF(M88=TRUE,IFERROR(I88,0),0))</f>
        <v/>
      </c>
      <c r="Q88" s="16">
        <f>IF(A88="","",IF(M88=TRUE,IFERROR(J88,0),0))</f>
        <v/>
      </c>
      <c r="R88" s="16">
        <f>IF(A88="","",IF(M88=TRUE,IFERROR(K88,0),0))</f>
        <v/>
      </c>
      <c r="S88" s="16">
        <f>IF(A88="","",IF(M88=TRUE,IFERROR(L88,0),0))</f>
        <v/>
      </c>
      <c r="T88" s="16">
        <f>IF(A88="","",IF(M88=TRUE,IFERROR(H88,0)+IFERROR(I88,0)+IFERROR(L88,0),0))</f>
        <v/>
      </c>
    </row>
    <row r="89">
      <c r="A89" s="10" t="n"/>
      <c r="B89" s="10" t="n"/>
      <c r="C89" s="11" t="n"/>
      <c r="D89" s="11" t="n"/>
      <c r="E89" s="10" t="n"/>
      <c r="F89" s="10" t="n"/>
      <c r="G89" s="12" t="n"/>
      <c r="H89" s="13" t="n"/>
      <c r="I89" s="13" t="n"/>
      <c r="J89" s="13" t="n"/>
      <c r="K89" s="13" t="n"/>
      <c r="L89" s="13" t="n"/>
      <c r="M89" s="17">
        <f>IF(A89="","",IFERROR(VLOOKUP(A89,Raw_CurrentMonth!A:O,15,FALSE)=TRUE,FALSE))</f>
        <v/>
      </c>
      <c r="N89" s="16">
        <f>IF(A89="","",IF(M89=TRUE,IFERROR(H89,0)+IFERROR(I89,0)+IFERROR(J89,0)+IFERROR(K89,0)+IFERROR(L89,0),0))</f>
        <v/>
      </c>
      <c r="O89" s="16">
        <f>IF(A89="","",IF(M89=TRUE,IFERROR(H89,0),0))</f>
        <v/>
      </c>
      <c r="P89" s="16">
        <f>IF(A89="","",IF(M89=TRUE,IFERROR(I89,0),0))</f>
        <v/>
      </c>
      <c r="Q89" s="16">
        <f>IF(A89="","",IF(M89=TRUE,IFERROR(J89,0),0))</f>
        <v/>
      </c>
      <c r="R89" s="16">
        <f>IF(A89="","",IF(M89=TRUE,IFERROR(K89,0),0))</f>
        <v/>
      </c>
      <c r="S89" s="16">
        <f>IF(A89="","",IF(M89=TRUE,IFERROR(L89,0),0))</f>
        <v/>
      </c>
      <c r="T89" s="16">
        <f>IF(A89="","",IF(M89=TRUE,IFERROR(H89,0)+IFERROR(I89,0)+IFERROR(L89,0),0))</f>
        <v/>
      </c>
    </row>
    <row r="90">
      <c r="A90" s="10" t="n"/>
      <c r="B90" s="10" t="n"/>
      <c r="C90" s="11" t="n"/>
      <c r="D90" s="11" t="n"/>
      <c r="E90" s="10" t="n"/>
      <c r="F90" s="10" t="n"/>
      <c r="G90" s="12" t="n"/>
      <c r="H90" s="13" t="n"/>
      <c r="I90" s="13" t="n"/>
      <c r="J90" s="13" t="n"/>
      <c r="K90" s="13" t="n"/>
      <c r="L90" s="13" t="n"/>
      <c r="M90" s="17">
        <f>IF(A90="","",IFERROR(VLOOKUP(A90,Raw_CurrentMonth!A:O,15,FALSE)=TRUE,FALSE))</f>
        <v/>
      </c>
      <c r="N90" s="16">
        <f>IF(A90="","",IF(M90=TRUE,IFERROR(H90,0)+IFERROR(I90,0)+IFERROR(J90,0)+IFERROR(K90,0)+IFERROR(L90,0),0))</f>
        <v/>
      </c>
      <c r="O90" s="16">
        <f>IF(A90="","",IF(M90=TRUE,IFERROR(H90,0),0))</f>
        <v/>
      </c>
      <c r="P90" s="16">
        <f>IF(A90="","",IF(M90=TRUE,IFERROR(I90,0),0))</f>
        <v/>
      </c>
      <c r="Q90" s="16">
        <f>IF(A90="","",IF(M90=TRUE,IFERROR(J90,0),0))</f>
        <v/>
      </c>
      <c r="R90" s="16">
        <f>IF(A90="","",IF(M90=TRUE,IFERROR(K90,0),0))</f>
        <v/>
      </c>
      <c r="S90" s="16">
        <f>IF(A90="","",IF(M90=TRUE,IFERROR(L90,0),0))</f>
        <v/>
      </c>
      <c r="T90" s="16">
        <f>IF(A90="","",IF(M90=TRUE,IFERROR(H90,0)+IFERROR(I90,0)+IFERROR(L90,0),0))</f>
        <v/>
      </c>
    </row>
    <row r="91">
      <c r="A91" s="10" t="n"/>
      <c r="B91" s="10" t="n"/>
      <c r="C91" s="11" t="n"/>
      <c r="D91" s="11" t="n"/>
      <c r="E91" s="10" t="n"/>
      <c r="F91" s="10" t="n"/>
      <c r="G91" s="12" t="n"/>
      <c r="H91" s="13" t="n"/>
      <c r="I91" s="13" t="n"/>
      <c r="J91" s="13" t="n"/>
      <c r="K91" s="13" t="n"/>
      <c r="L91" s="13" t="n"/>
      <c r="M91" s="17">
        <f>IF(A91="","",IFERROR(VLOOKUP(A91,Raw_CurrentMonth!A:O,15,FALSE)=TRUE,FALSE))</f>
        <v/>
      </c>
      <c r="N91" s="16">
        <f>IF(A91="","",IF(M91=TRUE,IFERROR(H91,0)+IFERROR(I91,0)+IFERROR(J91,0)+IFERROR(K91,0)+IFERROR(L91,0),0))</f>
        <v/>
      </c>
      <c r="O91" s="16">
        <f>IF(A91="","",IF(M91=TRUE,IFERROR(H91,0),0))</f>
        <v/>
      </c>
      <c r="P91" s="16">
        <f>IF(A91="","",IF(M91=TRUE,IFERROR(I91,0),0))</f>
        <v/>
      </c>
      <c r="Q91" s="16">
        <f>IF(A91="","",IF(M91=TRUE,IFERROR(J91,0),0))</f>
        <v/>
      </c>
      <c r="R91" s="16">
        <f>IF(A91="","",IF(M91=TRUE,IFERROR(K91,0),0))</f>
        <v/>
      </c>
      <c r="S91" s="16">
        <f>IF(A91="","",IF(M91=TRUE,IFERROR(L91,0),0))</f>
        <v/>
      </c>
      <c r="T91" s="16">
        <f>IF(A91="","",IF(M91=TRUE,IFERROR(H91,0)+IFERROR(I91,0)+IFERROR(L91,0),0))</f>
        <v/>
      </c>
    </row>
    <row r="92">
      <c r="A92" s="10" t="n"/>
      <c r="B92" s="10" t="n"/>
      <c r="C92" s="11" t="n"/>
      <c r="D92" s="11" t="n"/>
      <c r="E92" s="10" t="n"/>
      <c r="F92" s="10" t="n"/>
      <c r="G92" s="12" t="n"/>
      <c r="H92" s="13" t="n"/>
      <c r="I92" s="13" t="n"/>
      <c r="J92" s="13" t="n"/>
      <c r="K92" s="13" t="n"/>
      <c r="L92" s="13" t="n"/>
      <c r="M92" s="17">
        <f>IF(A92="","",IFERROR(VLOOKUP(A92,Raw_CurrentMonth!A:O,15,FALSE)=TRUE,FALSE))</f>
        <v/>
      </c>
      <c r="N92" s="16">
        <f>IF(A92="","",IF(M92=TRUE,IFERROR(H92,0)+IFERROR(I92,0)+IFERROR(J92,0)+IFERROR(K92,0)+IFERROR(L92,0),0))</f>
        <v/>
      </c>
      <c r="O92" s="16">
        <f>IF(A92="","",IF(M92=TRUE,IFERROR(H92,0),0))</f>
        <v/>
      </c>
      <c r="P92" s="16">
        <f>IF(A92="","",IF(M92=TRUE,IFERROR(I92,0),0))</f>
        <v/>
      </c>
      <c r="Q92" s="16">
        <f>IF(A92="","",IF(M92=TRUE,IFERROR(J92,0),0))</f>
        <v/>
      </c>
      <c r="R92" s="16">
        <f>IF(A92="","",IF(M92=TRUE,IFERROR(K92,0),0))</f>
        <v/>
      </c>
      <c r="S92" s="16">
        <f>IF(A92="","",IF(M92=TRUE,IFERROR(L92,0),0))</f>
        <v/>
      </c>
      <c r="T92" s="16">
        <f>IF(A92="","",IF(M92=TRUE,IFERROR(H92,0)+IFERROR(I92,0)+IFERROR(L92,0),0))</f>
        <v/>
      </c>
    </row>
    <row r="93">
      <c r="A93" s="10" t="n"/>
      <c r="B93" s="10" t="n"/>
      <c r="C93" s="11" t="n"/>
      <c r="D93" s="11" t="n"/>
      <c r="E93" s="10" t="n"/>
      <c r="F93" s="10" t="n"/>
      <c r="G93" s="12" t="n"/>
      <c r="H93" s="13" t="n"/>
      <c r="I93" s="13" t="n"/>
      <c r="J93" s="13" t="n"/>
      <c r="K93" s="13" t="n"/>
      <c r="L93" s="13" t="n"/>
      <c r="M93" s="17">
        <f>IF(A93="","",IFERROR(VLOOKUP(A93,Raw_CurrentMonth!A:O,15,FALSE)=TRUE,FALSE))</f>
        <v/>
      </c>
      <c r="N93" s="16">
        <f>IF(A93="","",IF(M93=TRUE,IFERROR(H93,0)+IFERROR(I93,0)+IFERROR(J93,0)+IFERROR(K93,0)+IFERROR(L93,0),0))</f>
        <v/>
      </c>
      <c r="O93" s="16">
        <f>IF(A93="","",IF(M93=TRUE,IFERROR(H93,0),0))</f>
        <v/>
      </c>
      <c r="P93" s="16">
        <f>IF(A93="","",IF(M93=TRUE,IFERROR(I93,0),0))</f>
        <v/>
      </c>
      <c r="Q93" s="16">
        <f>IF(A93="","",IF(M93=TRUE,IFERROR(J93,0),0))</f>
        <v/>
      </c>
      <c r="R93" s="16">
        <f>IF(A93="","",IF(M93=TRUE,IFERROR(K93,0),0))</f>
        <v/>
      </c>
      <c r="S93" s="16">
        <f>IF(A93="","",IF(M93=TRUE,IFERROR(L93,0),0))</f>
        <v/>
      </c>
      <c r="T93" s="16">
        <f>IF(A93="","",IF(M93=TRUE,IFERROR(H93,0)+IFERROR(I93,0)+IFERROR(L93,0),0))</f>
        <v/>
      </c>
    </row>
    <row r="94">
      <c r="A94" s="10" t="n"/>
      <c r="B94" s="10" t="n"/>
      <c r="C94" s="11" t="n"/>
      <c r="D94" s="11" t="n"/>
      <c r="E94" s="10" t="n"/>
      <c r="F94" s="10" t="n"/>
      <c r="G94" s="12" t="n"/>
      <c r="H94" s="13" t="n"/>
      <c r="I94" s="13" t="n"/>
      <c r="J94" s="13" t="n"/>
      <c r="K94" s="13" t="n"/>
      <c r="L94" s="13" t="n"/>
      <c r="M94" s="17">
        <f>IF(A94="","",IFERROR(VLOOKUP(A94,Raw_CurrentMonth!A:O,15,FALSE)=TRUE,FALSE))</f>
        <v/>
      </c>
      <c r="N94" s="16">
        <f>IF(A94="","",IF(M94=TRUE,IFERROR(H94,0)+IFERROR(I94,0)+IFERROR(J94,0)+IFERROR(K94,0)+IFERROR(L94,0),0))</f>
        <v/>
      </c>
      <c r="O94" s="16">
        <f>IF(A94="","",IF(M94=TRUE,IFERROR(H94,0),0))</f>
        <v/>
      </c>
      <c r="P94" s="16">
        <f>IF(A94="","",IF(M94=TRUE,IFERROR(I94,0),0))</f>
        <v/>
      </c>
      <c r="Q94" s="16">
        <f>IF(A94="","",IF(M94=TRUE,IFERROR(J94,0),0))</f>
        <v/>
      </c>
      <c r="R94" s="16">
        <f>IF(A94="","",IF(M94=TRUE,IFERROR(K94,0),0))</f>
        <v/>
      </c>
      <c r="S94" s="16">
        <f>IF(A94="","",IF(M94=TRUE,IFERROR(L94,0),0))</f>
        <v/>
      </c>
      <c r="T94" s="16">
        <f>IF(A94="","",IF(M94=TRUE,IFERROR(H94,0)+IFERROR(I94,0)+IFERROR(L94,0),0))</f>
        <v/>
      </c>
    </row>
    <row r="95">
      <c r="A95" s="10" t="n"/>
      <c r="B95" s="10" t="n"/>
      <c r="C95" s="11" t="n"/>
      <c r="D95" s="11" t="n"/>
      <c r="E95" s="10" t="n"/>
      <c r="F95" s="10" t="n"/>
      <c r="G95" s="12" t="n"/>
      <c r="H95" s="13" t="n"/>
      <c r="I95" s="13" t="n"/>
      <c r="J95" s="13" t="n"/>
      <c r="K95" s="13" t="n"/>
      <c r="L95" s="13" t="n"/>
      <c r="M95" s="17">
        <f>IF(A95="","",IFERROR(VLOOKUP(A95,Raw_CurrentMonth!A:O,15,FALSE)=TRUE,FALSE))</f>
        <v/>
      </c>
      <c r="N95" s="16">
        <f>IF(A95="","",IF(M95=TRUE,IFERROR(H95,0)+IFERROR(I95,0)+IFERROR(J95,0)+IFERROR(K95,0)+IFERROR(L95,0),0))</f>
        <v/>
      </c>
      <c r="O95" s="16">
        <f>IF(A95="","",IF(M95=TRUE,IFERROR(H95,0),0))</f>
        <v/>
      </c>
      <c r="P95" s="16">
        <f>IF(A95="","",IF(M95=TRUE,IFERROR(I95,0),0))</f>
        <v/>
      </c>
      <c r="Q95" s="16">
        <f>IF(A95="","",IF(M95=TRUE,IFERROR(J95,0),0))</f>
        <v/>
      </c>
      <c r="R95" s="16">
        <f>IF(A95="","",IF(M95=TRUE,IFERROR(K95,0),0))</f>
        <v/>
      </c>
      <c r="S95" s="16">
        <f>IF(A95="","",IF(M95=TRUE,IFERROR(L95,0),0))</f>
        <v/>
      </c>
      <c r="T95" s="16">
        <f>IF(A95="","",IF(M95=TRUE,IFERROR(H95,0)+IFERROR(I95,0)+IFERROR(L95,0),0))</f>
        <v/>
      </c>
    </row>
    <row r="96">
      <c r="A96" s="10" t="n"/>
      <c r="B96" s="10" t="n"/>
      <c r="C96" s="11" t="n"/>
      <c r="D96" s="11" t="n"/>
      <c r="E96" s="10" t="n"/>
      <c r="F96" s="10" t="n"/>
      <c r="G96" s="12" t="n"/>
      <c r="H96" s="13" t="n"/>
      <c r="I96" s="13" t="n"/>
      <c r="J96" s="13" t="n"/>
      <c r="K96" s="13" t="n"/>
      <c r="L96" s="13" t="n"/>
      <c r="M96" s="17">
        <f>IF(A96="","",IFERROR(VLOOKUP(A96,Raw_CurrentMonth!A:O,15,FALSE)=TRUE,FALSE))</f>
        <v/>
      </c>
      <c r="N96" s="16">
        <f>IF(A96="","",IF(M96=TRUE,IFERROR(H96,0)+IFERROR(I96,0)+IFERROR(J96,0)+IFERROR(K96,0)+IFERROR(L96,0),0))</f>
        <v/>
      </c>
      <c r="O96" s="16">
        <f>IF(A96="","",IF(M96=TRUE,IFERROR(H96,0),0))</f>
        <v/>
      </c>
      <c r="P96" s="16">
        <f>IF(A96="","",IF(M96=TRUE,IFERROR(I96,0),0))</f>
        <v/>
      </c>
      <c r="Q96" s="16">
        <f>IF(A96="","",IF(M96=TRUE,IFERROR(J96,0),0))</f>
        <v/>
      </c>
      <c r="R96" s="16">
        <f>IF(A96="","",IF(M96=TRUE,IFERROR(K96,0),0))</f>
        <v/>
      </c>
      <c r="S96" s="16">
        <f>IF(A96="","",IF(M96=TRUE,IFERROR(L96,0),0))</f>
        <v/>
      </c>
      <c r="T96" s="16">
        <f>IF(A96="","",IF(M96=TRUE,IFERROR(H96,0)+IFERROR(I96,0)+IFERROR(L96,0),0))</f>
        <v/>
      </c>
    </row>
    <row r="97">
      <c r="A97" s="10" t="n"/>
      <c r="B97" s="10" t="n"/>
      <c r="C97" s="11" t="n"/>
      <c r="D97" s="11" t="n"/>
      <c r="E97" s="10" t="n"/>
      <c r="F97" s="10" t="n"/>
      <c r="G97" s="12" t="n"/>
      <c r="H97" s="13" t="n"/>
      <c r="I97" s="13" t="n"/>
      <c r="J97" s="13" t="n"/>
      <c r="K97" s="13" t="n"/>
      <c r="L97" s="13" t="n"/>
      <c r="M97" s="17">
        <f>IF(A97="","",IFERROR(VLOOKUP(A97,Raw_CurrentMonth!A:O,15,FALSE)=TRUE,FALSE))</f>
        <v/>
      </c>
      <c r="N97" s="16">
        <f>IF(A97="","",IF(M97=TRUE,IFERROR(H97,0)+IFERROR(I97,0)+IFERROR(J97,0)+IFERROR(K97,0)+IFERROR(L97,0),0))</f>
        <v/>
      </c>
      <c r="O97" s="16">
        <f>IF(A97="","",IF(M97=TRUE,IFERROR(H97,0),0))</f>
        <v/>
      </c>
      <c r="P97" s="16">
        <f>IF(A97="","",IF(M97=TRUE,IFERROR(I97,0),0))</f>
        <v/>
      </c>
      <c r="Q97" s="16">
        <f>IF(A97="","",IF(M97=TRUE,IFERROR(J97,0),0))</f>
        <v/>
      </c>
      <c r="R97" s="16">
        <f>IF(A97="","",IF(M97=TRUE,IFERROR(K97,0),0))</f>
        <v/>
      </c>
      <c r="S97" s="16">
        <f>IF(A97="","",IF(M97=TRUE,IFERROR(L97,0),0))</f>
        <v/>
      </c>
      <c r="T97" s="16">
        <f>IF(A97="","",IF(M97=TRUE,IFERROR(H97,0)+IFERROR(I97,0)+IFERROR(L97,0),0))</f>
        <v/>
      </c>
    </row>
    <row r="98">
      <c r="A98" s="10" t="n"/>
      <c r="B98" s="10" t="n"/>
      <c r="C98" s="11" t="n"/>
      <c r="D98" s="11" t="n"/>
      <c r="E98" s="10" t="n"/>
      <c r="F98" s="10" t="n"/>
      <c r="G98" s="12" t="n"/>
      <c r="H98" s="13" t="n"/>
      <c r="I98" s="13" t="n"/>
      <c r="J98" s="13" t="n"/>
      <c r="K98" s="13" t="n"/>
      <c r="L98" s="13" t="n"/>
      <c r="M98" s="17">
        <f>IF(A98="","",IFERROR(VLOOKUP(A98,Raw_CurrentMonth!A:O,15,FALSE)=TRUE,FALSE))</f>
        <v/>
      </c>
      <c r="N98" s="16">
        <f>IF(A98="","",IF(M98=TRUE,IFERROR(H98,0)+IFERROR(I98,0)+IFERROR(J98,0)+IFERROR(K98,0)+IFERROR(L98,0),0))</f>
        <v/>
      </c>
      <c r="O98" s="16">
        <f>IF(A98="","",IF(M98=TRUE,IFERROR(H98,0),0))</f>
        <v/>
      </c>
      <c r="P98" s="16">
        <f>IF(A98="","",IF(M98=TRUE,IFERROR(I98,0),0))</f>
        <v/>
      </c>
      <c r="Q98" s="16">
        <f>IF(A98="","",IF(M98=TRUE,IFERROR(J98,0),0))</f>
        <v/>
      </c>
      <c r="R98" s="16">
        <f>IF(A98="","",IF(M98=TRUE,IFERROR(K98,0),0))</f>
        <v/>
      </c>
      <c r="S98" s="16">
        <f>IF(A98="","",IF(M98=TRUE,IFERROR(L98,0),0))</f>
        <v/>
      </c>
      <c r="T98" s="16">
        <f>IF(A98="","",IF(M98=TRUE,IFERROR(H98,0)+IFERROR(I98,0)+IFERROR(L98,0),0))</f>
        <v/>
      </c>
    </row>
    <row r="99">
      <c r="A99" s="10" t="n"/>
      <c r="B99" s="10" t="n"/>
      <c r="C99" s="11" t="n"/>
      <c r="D99" s="11" t="n"/>
      <c r="E99" s="10" t="n"/>
      <c r="F99" s="10" t="n"/>
      <c r="G99" s="12" t="n"/>
      <c r="H99" s="13" t="n"/>
      <c r="I99" s="13" t="n"/>
      <c r="J99" s="13" t="n"/>
      <c r="K99" s="13" t="n"/>
      <c r="L99" s="13" t="n"/>
      <c r="M99" s="17">
        <f>IF(A99="","",IFERROR(VLOOKUP(A99,Raw_CurrentMonth!A:O,15,FALSE)=TRUE,FALSE))</f>
        <v/>
      </c>
      <c r="N99" s="16">
        <f>IF(A99="","",IF(M99=TRUE,IFERROR(H99,0)+IFERROR(I99,0)+IFERROR(J99,0)+IFERROR(K99,0)+IFERROR(L99,0),0))</f>
        <v/>
      </c>
      <c r="O99" s="16">
        <f>IF(A99="","",IF(M99=TRUE,IFERROR(H99,0),0))</f>
        <v/>
      </c>
      <c r="P99" s="16">
        <f>IF(A99="","",IF(M99=TRUE,IFERROR(I99,0),0))</f>
        <v/>
      </c>
      <c r="Q99" s="16">
        <f>IF(A99="","",IF(M99=TRUE,IFERROR(J99,0),0))</f>
        <v/>
      </c>
      <c r="R99" s="16">
        <f>IF(A99="","",IF(M99=TRUE,IFERROR(K99,0),0))</f>
        <v/>
      </c>
      <c r="S99" s="16">
        <f>IF(A99="","",IF(M99=TRUE,IFERROR(L99,0),0))</f>
        <v/>
      </c>
      <c r="T99" s="16">
        <f>IF(A99="","",IF(M99=TRUE,IFERROR(H99,0)+IFERROR(I99,0)+IFERROR(L99,0),0))</f>
        <v/>
      </c>
    </row>
    <row r="100">
      <c r="A100" s="10" t="n"/>
      <c r="B100" s="10" t="n"/>
      <c r="C100" s="11" t="n"/>
      <c r="D100" s="11" t="n"/>
      <c r="E100" s="10" t="n"/>
      <c r="F100" s="10" t="n"/>
      <c r="G100" s="12" t="n"/>
      <c r="H100" s="13" t="n"/>
      <c r="I100" s="13" t="n"/>
      <c r="J100" s="13" t="n"/>
      <c r="K100" s="13" t="n"/>
      <c r="L100" s="13" t="n"/>
      <c r="M100" s="17">
        <f>IF(A100="","",IFERROR(VLOOKUP(A100,Raw_CurrentMonth!A:O,15,FALSE)=TRUE,FALSE))</f>
        <v/>
      </c>
      <c r="N100" s="16">
        <f>IF(A100="","",IF(M100=TRUE,IFERROR(H100,0)+IFERROR(I100,0)+IFERROR(J100,0)+IFERROR(K100,0)+IFERROR(L100,0),0))</f>
        <v/>
      </c>
      <c r="O100" s="16">
        <f>IF(A100="","",IF(M100=TRUE,IFERROR(H100,0),0))</f>
        <v/>
      </c>
      <c r="P100" s="16">
        <f>IF(A100="","",IF(M100=TRUE,IFERROR(I100,0),0))</f>
        <v/>
      </c>
      <c r="Q100" s="16">
        <f>IF(A100="","",IF(M100=TRUE,IFERROR(J100,0),0))</f>
        <v/>
      </c>
      <c r="R100" s="16">
        <f>IF(A100="","",IF(M100=TRUE,IFERROR(K100,0),0))</f>
        <v/>
      </c>
      <c r="S100" s="16">
        <f>IF(A100="","",IF(M100=TRUE,IFERROR(L100,0),0))</f>
        <v/>
      </c>
      <c r="T100" s="16">
        <f>IF(A100="","",IF(M100=TRUE,IFERROR(H100,0)+IFERROR(I100,0)+IFERROR(L100,0),0))</f>
        <v/>
      </c>
    </row>
    <row r="101">
      <c r="A101" s="10" t="n"/>
      <c r="B101" s="10" t="n"/>
      <c r="C101" s="11" t="n"/>
      <c r="D101" s="11" t="n"/>
      <c r="E101" s="10" t="n"/>
      <c r="F101" s="10" t="n"/>
      <c r="G101" s="12" t="n"/>
      <c r="H101" s="13" t="n"/>
      <c r="I101" s="13" t="n"/>
      <c r="J101" s="13" t="n"/>
      <c r="K101" s="13" t="n"/>
      <c r="L101" s="13" t="n"/>
      <c r="M101" s="17">
        <f>IF(A101="","",IFERROR(VLOOKUP(A101,Raw_CurrentMonth!A:O,15,FALSE)=TRUE,FALSE))</f>
        <v/>
      </c>
      <c r="N101" s="16">
        <f>IF(A101="","",IF(M101=TRUE,IFERROR(H101,0)+IFERROR(I101,0)+IFERROR(J101,0)+IFERROR(K101,0)+IFERROR(L101,0),0))</f>
        <v/>
      </c>
      <c r="O101" s="16">
        <f>IF(A101="","",IF(M101=TRUE,IFERROR(H101,0),0))</f>
        <v/>
      </c>
      <c r="P101" s="16">
        <f>IF(A101="","",IF(M101=TRUE,IFERROR(I101,0),0))</f>
        <v/>
      </c>
      <c r="Q101" s="16">
        <f>IF(A101="","",IF(M101=TRUE,IFERROR(J101,0),0))</f>
        <v/>
      </c>
      <c r="R101" s="16">
        <f>IF(A101="","",IF(M101=TRUE,IFERROR(K101,0),0))</f>
        <v/>
      </c>
      <c r="S101" s="16">
        <f>IF(A101="","",IF(M101=TRUE,IFERROR(L101,0),0))</f>
        <v/>
      </c>
      <c r="T101" s="16">
        <f>IF(A101="","",IF(M101=TRUE,IFERROR(H101,0)+IFERROR(I101,0)+IFERROR(L101,0),0))</f>
        <v/>
      </c>
    </row>
    <row r="102">
      <c r="A102" s="10" t="n"/>
      <c r="B102" s="10" t="n"/>
      <c r="C102" s="11" t="n"/>
      <c r="D102" s="11" t="n"/>
      <c r="E102" s="10" t="n"/>
      <c r="F102" s="10" t="n"/>
      <c r="G102" s="12" t="n"/>
      <c r="H102" s="13" t="n"/>
      <c r="I102" s="13" t="n"/>
      <c r="J102" s="13" t="n"/>
      <c r="K102" s="13" t="n"/>
      <c r="L102" s="13" t="n"/>
      <c r="M102" s="17">
        <f>IF(A102="","",IFERROR(VLOOKUP(A102,Raw_CurrentMonth!A:O,15,FALSE)=TRUE,FALSE))</f>
        <v/>
      </c>
      <c r="N102" s="16">
        <f>IF(A102="","",IF(M102=TRUE,IFERROR(H102,0)+IFERROR(I102,0)+IFERROR(J102,0)+IFERROR(K102,0)+IFERROR(L102,0),0))</f>
        <v/>
      </c>
      <c r="O102" s="16">
        <f>IF(A102="","",IF(M102=TRUE,IFERROR(H102,0),0))</f>
        <v/>
      </c>
      <c r="P102" s="16">
        <f>IF(A102="","",IF(M102=TRUE,IFERROR(I102,0),0))</f>
        <v/>
      </c>
      <c r="Q102" s="16">
        <f>IF(A102="","",IF(M102=TRUE,IFERROR(J102,0),0))</f>
        <v/>
      </c>
      <c r="R102" s="16">
        <f>IF(A102="","",IF(M102=TRUE,IFERROR(K102,0),0))</f>
        <v/>
      </c>
      <c r="S102" s="16">
        <f>IF(A102="","",IF(M102=TRUE,IFERROR(L102,0),0))</f>
        <v/>
      </c>
      <c r="T102" s="16">
        <f>IF(A102="","",IF(M102=TRUE,IFERROR(H102,0)+IFERROR(I102,0)+IFERROR(L102,0),0))</f>
        <v/>
      </c>
    </row>
    <row r="103">
      <c r="A103" s="10" t="n"/>
      <c r="B103" s="10" t="n"/>
      <c r="C103" s="11" t="n"/>
      <c r="D103" s="11" t="n"/>
      <c r="E103" s="10" t="n"/>
      <c r="F103" s="10" t="n"/>
      <c r="G103" s="12" t="n"/>
      <c r="H103" s="13" t="n"/>
      <c r="I103" s="13" t="n"/>
      <c r="J103" s="13" t="n"/>
      <c r="K103" s="13" t="n"/>
      <c r="L103" s="13" t="n"/>
      <c r="M103" s="17">
        <f>IF(A103="","",IFERROR(VLOOKUP(A103,Raw_CurrentMonth!A:O,15,FALSE)=TRUE,FALSE))</f>
        <v/>
      </c>
      <c r="N103" s="16">
        <f>IF(A103="","",IF(M103=TRUE,IFERROR(H103,0)+IFERROR(I103,0)+IFERROR(J103,0)+IFERROR(K103,0)+IFERROR(L103,0),0))</f>
        <v/>
      </c>
      <c r="O103" s="16">
        <f>IF(A103="","",IF(M103=TRUE,IFERROR(H103,0),0))</f>
        <v/>
      </c>
      <c r="P103" s="16">
        <f>IF(A103="","",IF(M103=TRUE,IFERROR(I103,0),0))</f>
        <v/>
      </c>
      <c r="Q103" s="16">
        <f>IF(A103="","",IF(M103=TRUE,IFERROR(J103,0),0))</f>
        <v/>
      </c>
      <c r="R103" s="16">
        <f>IF(A103="","",IF(M103=TRUE,IFERROR(K103,0),0))</f>
        <v/>
      </c>
      <c r="S103" s="16">
        <f>IF(A103="","",IF(M103=TRUE,IFERROR(L103,0),0))</f>
        <v/>
      </c>
      <c r="T103" s="16">
        <f>IF(A103="","",IF(M103=TRUE,IFERROR(H103,0)+IFERROR(I103,0)+IFERROR(L103,0),0))</f>
        <v/>
      </c>
    </row>
    <row r="104">
      <c r="A104" s="10" t="n"/>
      <c r="B104" s="10" t="n"/>
      <c r="C104" s="11" t="n"/>
      <c r="D104" s="11" t="n"/>
      <c r="E104" s="10" t="n"/>
      <c r="F104" s="10" t="n"/>
      <c r="G104" s="12" t="n"/>
      <c r="H104" s="13" t="n"/>
      <c r="I104" s="13" t="n"/>
      <c r="J104" s="13" t="n"/>
      <c r="K104" s="13" t="n"/>
      <c r="L104" s="13" t="n"/>
      <c r="M104" s="17">
        <f>IF(A104="","",IFERROR(VLOOKUP(A104,Raw_CurrentMonth!A:O,15,FALSE)=TRUE,FALSE))</f>
        <v/>
      </c>
      <c r="N104" s="16">
        <f>IF(A104="","",IF(M104=TRUE,IFERROR(H104,0)+IFERROR(I104,0)+IFERROR(J104,0)+IFERROR(K104,0)+IFERROR(L104,0),0))</f>
        <v/>
      </c>
      <c r="O104" s="16">
        <f>IF(A104="","",IF(M104=TRUE,IFERROR(H104,0),0))</f>
        <v/>
      </c>
      <c r="P104" s="16">
        <f>IF(A104="","",IF(M104=TRUE,IFERROR(I104,0),0))</f>
        <v/>
      </c>
      <c r="Q104" s="16">
        <f>IF(A104="","",IF(M104=TRUE,IFERROR(J104,0),0))</f>
        <v/>
      </c>
      <c r="R104" s="16">
        <f>IF(A104="","",IF(M104=TRUE,IFERROR(K104,0),0))</f>
        <v/>
      </c>
      <c r="S104" s="16">
        <f>IF(A104="","",IF(M104=TRUE,IFERROR(L104,0),0))</f>
        <v/>
      </c>
      <c r="T104" s="16">
        <f>IF(A104="","",IF(M104=TRUE,IFERROR(H104,0)+IFERROR(I104,0)+IFERROR(L104,0),0))</f>
        <v/>
      </c>
    </row>
    <row r="105">
      <c r="A105" s="10" t="n"/>
      <c r="B105" s="10" t="n"/>
      <c r="C105" s="11" t="n"/>
      <c r="D105" s="11" t="n"/>
      <c r="E105" s="10" t="n"/>
      <c r="F105" s="10" t="n"/>
      <c r="G105" s="12" t="n"/>
      <c r="H105" s="13" t="n"/>
      <c r="I105" s="13" t="n"/>
      <c r="J105" s="13" t="n"/>
      <c r="K105" s="13" t="n"/>
      <c r="L105" s="13" t="n"/>
      <c r="M105" s="17">
        <f>IF(A105="","",IFERROR(VLOOKUP(A105,Raw_CurrentMonth!A:O,15,FALSE)=TRUE,FALSE))</f>
        <v/>
      </c>
      <c r="N105" s="16">
        <f>IF(A105="","",IF(M105=TRUE,IFERROR(H105,0)+IFERROR(I105,0)+IFERROR(J105,0)+IFERROR(K105,0)+IFERROR(L105,0),0))</f>
        <v/>
      </c>
      <c r="O105" s="16">
        <f>IF(A105="","",IF(M105=TRUE,IFERROR(H105,0),0))</f>
        <v/>
      </c>
      <c r="P105" s="16">
        <f>IF(A105="","",IF(M105=TRUE,IFERROR(I105,0),0))</f>
        <v/>
      </c>
      <c r="Q105" s="16">
        <f>IF(A105="","",IF(M105=TRUE,IFERROR(J105,0),0))</f>
        <v/>
      </c>
      <c r="R105" s="16">
        <f>IF(A105="","",IF(M105=TRUE,IFERROR(K105,0),0))</f>
        <v/>
      </c>
      <c r="S105" s="16">
        <f>IF(A105="","",IF(M105=TRUE,IFERROR(L105,0),0))</f>
        <v/>
      </c>
      <c r="T105" s="16">
        <f>IF(A105="","",IF(M105=TRUE,IFERROR(H105,0)+IFERROR(I105,0)+IFERROR(L105,0),0))</f>
        <v/>
      </c>
    </row>
    <row r="106">
      <c r="A106" s="10" t="n"/>
      <c r="B106" s="10" t="n"/>
      <c r="C106" s="11" t="n"/>
      <c r="D106" s="11" t="n"/>
      <c r="E106" s="10" t="n"/>
      <c r="F106" s="10" t="n"/>
      <c r="G106" s="12" t="n"/>
      <c r="H106" s="13" t="n"/>
      <c r="I106" s="13" t="n"/>
      <c r="J106" s="13" t="n"/>
      <c r="K106" s="13" t="n"/>
      <c r="L106" s="13" t="n"/>
      <c r="M106" s="17">
        <f>IF(A106="","",IFERROR(VLOOKUP(A106,Raw_CurrentMonth!A:O,15,FALSE)=TRUE,FALSE))</f>
        <v/>
      </c>
      <c r="N106" s="16">
        <f>IF(A106="","",IF(M106=TRUE,IFERROR(H106,0)+IFERROR(I106,0)+IFERROR(J106,0)+IFERROR(K106,0)+IFERROR(L106,0),0))</f>
        <v/>
      </c>
      <c r="O106" s="16">
        <f>IF(A106="","",IF(M106=TRUE,IFERROR(H106,0),0))</f>
        <v/>
      </c>
      <c r="P106" s="16">
        <f>IF(A106="","",IF(M106=TRUE,IFERROR(I106,0),0))</f>
        <v/>
      </c>
      <c r="Q106" s="16">
        <f>IF(A106="","",IF(M106=TRUE,IFERROR(J106,0),0))</f>
        <v/>
      </c>
      <c r="R106" s="16">
        <f>IF(A106="","",IF(M106=TRUE,IFERROR(K106,0),0))</f>
        <v/>
      </c>
      <c r="S106" s="16">
        <f>IF(A106="","",IF(M106=TRUE,IFERROR(L106,0),0))</f>
        <v/>
      </c>
      <c r="T106" s="16">
        <f>IF(A106="","",IF(M106=TRUE,IFERROR(H106,0)+IFERROR(I106,0)+IFERROR(L106,0),0))</f>
        <v/>
      </c>
    </row>
    <row r="107">
      <c r="A107" s="10" t="n"/>
      <c r="B107" s="10" t="n"/>
      <c r="C107" s="11" t="n"/>
      <c r="D107" s="11" t="n"/>
      <c r="E107" s="10" t="n"/>
      <c r="F107" s="10" t="n"/>
      <c r="G107" s="12" t="n"/>
      <c r="H107" s="13" t="n"/>
      <c r="I107" s="13" t="n"/>
      <c r="J107" s="13" t="n"/>
      <c r="K107" s="13" t="n"/>
      <c r="L107" s="13" t="n"/>
      <c r="M107" s="17">
        <f>IF(A107="","",IFERROR(VLOOKUP(A107,Raw_CurrentMonth!A:O,15,FALSE)=TRUE,FALSE))</f>
        <v/>
      </c>
      <c r="N107" s="16">
        <f>IF(A107="","",IF(M107=TRUE,IFERROR(H107,0)+IFERROR(I107,0)+IFERROR(J107,0)+IFERROR(K107,0)+IFERROR(L107,0),0))</f>
        <v/>
      </c>
      <c r="O107" s="16">
        <f>IF(A107="","",IF(M107=TRUE,IFERROR(H107,0),0))</f>
        <v/>
      </c>
      <c r="P107" s="16">
        <f>IF(A107="","",IF(M107=TRUE,IFERROR(I107,0),0))</f>
        <v/>
      </c>
      <c r="Q107" s="16">
        <f>IF(A107="","",IF(M107=TRUE,IFERROR(J107,0),0))</f>
        <v/>
      </c>
      <c r="R107" s="16">
        <f>IF(A107="","",IF(M107=TRUE,IFERROR(K107,0),0))</f>
        <v/>
      </c>
      <c r="S107" s="16">
        <f>IF(A107="","",IF(M107=TRUE,IFERROR(L107,0),0))</f>
        <v/>
      </c>
      <c r="T107" s="16">
        <f>IF(A107="","",IF(M107=TRUE,IFERROR(H107,0)+IFERROR(I107,0)+IFERROR(L107,0),0))</f>
        <v/>
      </c>
    </row>
    <row r="108">
      <c r="A108" s="10" t="n"/>
      <c r="B108" s="10" t="n"/>
      <c r="C108" s="11" t="n"/>
      <c r="D108" s="11" t="n"/>
      <c r="E108" s="10" t="n"/>
      <c r="F108" s="10" t="n"/>
      <c r="G108" s="12" t="n"/>
      <c r="H108" s="13" t="n"/>
      <c r="I108" s="13" t="n"/>
      <c r="J108" s="13" t="n"/>
      <c r="K108" s="13" t="n"/>
      <c r="L108" s="13" t="n"/>
      <c r="M108" s="17">
        <f>IF(A108="","",IFERROR(VLOOKUP(A108,Raw_CurrentMonth!A:O,15,FALSE)=TRUE,FALSE))</f>
        <v/>
      </c>
      <c r="N108" s="16">
        <f>IF(A108="","",IF(M108=TRUE,IFERROR(H108,0)+IFERROR(I108,0)+IFERROR(J108,0)+IFERROR(K108,0)+IFERROR(L108,0),0))</f>
        <v/>
      </c>
      <c r="O108" s="16">
        <f>IF(A108="","",IF(M108=TRUE,IFERROR(H108,0),0))</f>
        <v/>
      </c>
      <c r="P108" s="16">
        <f>IF(A108="","",IF(M108=TRUE,IFERROR(I108,0),0))</f>
        <v/>
      </c>
      <c r="Q108" s="16">
        <f>IF(A108="","",IF(M108=TRUE,IFERROR(J108,0),0))</f>
        <v/>
      </c>
      <c r="R108" s="16">
        <f>IF(A108="","",IF(M108=TRUE,IFERROR(K108,0),0))</f>
        <v/>
      </c>
      <c r="S108" s="16">
        <f>IF(A108="","",IF(M108=TRUE,IFERROR(L108,0),0))</f>
        <v/>
      </c>
      <c r="T108" s="16">
        <f>IF(A108="","",IF(M108=TRUE,IFERROR(H108,0)+IFERROR(I108,0)+IFERROR(L108,0),0))</f>
        <v/>
      </c>
    </row>
    <row r="109">
      <c r="A109" s="10" t="n"/>
      <c r="B109" s="10" t="n"/>
      <c r="C109" s="11" t="n"/>
      <c r="D109" s="11" t="n"/>
      <c r="E109" s="10" t="n"/>
      <c r="F109" s="10" t="n"/>
      <c r="G109" s="12" t="n"/>
      <c r="H109" s="13" t="n"/>
      <c r="I109" s="13" t="n"/>
      <c r="J109" s="13" t="n"/>
      <c r="K109" s="13" t="n"/>
      <c r="L109" s="13" t="n"/>
      <c r="M109" s="17">
        <f>IF(A109="","",IFERROR(VLOOKUP(A109,Raw_CurrentMonth!A:O,15,FALSE)=TRUE,FALSE))</f>
        <v/>
      </c>
      <c r="N109" s="16">
        <f>IF(A109="","",IF(M109=TRUE,IFERROR(H109,0)+IFERROR(I109,0)+IFERROR(J109,0)+IFERROR(K109,0)+IFERROR(L109,0),0))</f>
        <v/>
      </c>
      <c r="O109" s="16">
        <f>IF(A109="","",IF(M109=TRUE,IFERROR(H109,0),0))</f>
        <v/>
      </c>
      <c r="P109" s="16">
        <f>IF(A109="","",IF(M109=TRUE,IFERROR(I109,0),0))</f>
        <v/>
      </c>
      <c r="Q109" s="16">
        <f>IF(A109="","",IF(M109=TRUE,IFERROR(J109,0),0))</f>
        <v/>
      </c>
      <c r="R109" s="16">
        <f>IF(A109="","",IF(M109=TRUE,IFERROR(K109,0),0))</f>
        <v/>
      </c>
      <c r="S109" s="16">
        <f>IF(A109="","",IF(M109=TRUE,IFERROR(L109,0),0))</f>
        <v/>
      </c>
      <c r="T109" s="16">
        <f>IF(A109="","",IF(M109=TRUE,IFERROR(H109,0)+IFERROR(I109,0)+IFERROR(L109,0),0))</f>
        <v/>
      </c>
    </row>
    <row r="110">
      <c r="A110" s="10" t="n"/>
      <c r="B110" s="10" t="n"/>
      <c r="C110" s="11" t="n"/>
      <c r="D110" s="11" t="n"/>
      <c r="E110" s="10" t="n"/>
      <c r="F110" s="10" t="n"/>
      <c r="G110" s="12" t="n"/>
      <c r="H110" s="13" t="n"/>
      <c r="I110" s="13" t="n"/>
      <c r="J110" s="13" t="n"/>
      <c r="K110" s="13" t="n"/>
      <c r="L110" s="13" t="n"/>
      <c r="M110" s="17">
        <f>IF(A110="","",IFERROR(VLOOKUP(A110,Raw_CurrentMonth!A:O,15,FALSE)=TRUE,FALSE))</f>
        <v/>
      </c>
      <c r="N110" s="16">
        <f>IF(A110="","",IF(M110=TRUE,IFERROR(H110,0)+IFERROR(I110,0)+IFERROR(J110,0)+IFERROR(K110,0)+IFERROR(L110,0),0))</f>
        <v/>
      </c>
      <c r="O110" s="16">
        <f>IF(A110="","",IF(M110=TRUE,IFERROR(H110,0),0))</f>
        <v/>
      </c>
      <c r="P110" s="16">
        <f>IF(A110="","",IF(M110=TRUE,IFERROR(I110,0),0))</f>
        <v/>
      </c>
      <c r="Q110" s="16">
        <f>IF(A110="","",IF(M110=TRUE,IFERROR(J110,0),0))</f>
        <v/>
      </c>
      <c r="R110" s="16">
        <f>IF(A110="","",IF(M110=TRUE,IFERROR(K110,0),0))</f>
        <v/>
      </c>
      <c r="S110" s="16">
        <f>IF(A110="","",IF(M110=TRUE,IFERROR(L110,0),0))</f>
        <v/>
      </c>
      <c r="T110" s="16">
        <f>IF(A110="","",IF(M110=TRUE,IFERROR(H110,0)+IFERROR(I110,0)+IFERROR(L110,0),0))</f>
        <v/>
      </c>
    </row>
    <row r="111">
      <c r="A111" s="10" t="n"/>
      <c r="B111" s="10" t="n"/>
      <c r="C111" s="11" t="n"/>
      <c r="D111" s="11" t="n"/>
      <c r="E111" s="10" t="n"/>
      <c r="F111" s="10" t="n"/>
      <c r="G111" s="12" t="n"/>
      <c r="H111" s="13" t="n"/>
      <c r="I111" s="13" t="n"/>
      <c r="J111" s="13" t="n"/>
      <c r="K111" s="13" t="n"/>
      <c r="L111" s="13" t="n"/>
      <c r="M111" s="17">
        <f>IF(A111="","",IFERROR(VLOOKUP(A111,Raw_CurrentMonth!A:O,15,FALSE)=TRUE,FALSE))</f>
        <v/>
      </c>
      <c r="N111" s="16">
        <f>IF(A111="","",IF(M111=TRUE,IFERROR(H111,0)+IFERROR(I111,0)+IFERROR(J111,0)+IFERROR(K111,0)+IFERROR(L111,0),0))</f>
        <v/>
      </c>
      <c r="O111" s="16">
        <f>IF(A111="","",IF(M111=TRUE,IFERROR(H111,0),0))</f>
        <v/>
      </c>
      <c r="P111" s="16">
        <f>IF(A111="","",IF(M111=TRUE,IFERROR(I111,0),0))</f>
        <v/>
      </c>
      <c r="Q111" s="16">
        <f>IF(A111="","",IF(M111=TRUE,IFERROR(J111,0),0))</f>
        <v/>
      </c>
      <c r="R111" s="16">
        <f>IF(A111="","",IF(M111=TRUE,IFERROR(K111,0),0))</f>
        <v/>
      </c>
      <c r="S111" s="16">
        <f>IF(A111="","",IF(M111=TRUE,IFERROR(L111,0),0))</f>
        <v/>
      </c>
      <c r="T111" s="16">
        <f>IF(A111="","",IF(M111=TRUE,IFERROR(H111,0)+IFERROR(I111,0)+IFERROR(L111,0),0))</f>
        <v/>
      </c>
    </row>
    <row r="112">
      <c r="A112" s="10" t="n"/>
      <c r="B112" s="10" t="n"/>
      <c r="C112" s="11" t="n"/>
      <c r="D112" s="11" t="n"/>
      <c r="E112" s="10" t="n"/>
      <c r="F112" s="10" t="n"/>
      <c r="G112" s="12" t="n"/>
      <c r="H112" s="13" t="n"/>
      <c r="I112" s="13" t="n"/>
      <c r="J112" s="13" t="n"/>
      <c r="K112" s="13" t="n"/>
      <c r="L112" s="13" t="n"/>
      <c r="M112" s="17">
        <f>IF(A112="","",IFERROR(VLOOKUP(A112,Raw_CurrentMonth!A:O,15,FALSE)=TRUE,FALSE))</f>
        <v/>
      </c>
      <c r="N112" s="16">
        <f>IF(A112="","",IF(M112=TRUE,IFERROR(H112,0)+IFERROR(I112,0)+IFERROR(J112,0)+IFERROR(K112,0)+IFERROR(L112,0),0))</f>
        <v/>
      </c>
      <c r="O112" s="16">
        <f>IF(A112="","",IF(M112=TRUE,IFERROR(H112,0),0))</f>
        <v/>
      </c>
      <c r="P112" s="16">
        <f>IF(A112="","",IF(M112=TRUE,IFERROR(I112,0),0))</f>
        <v/>
      </c>
      <c r="Q112" s="16">
        <f>IF(A112="","",IF(M112=TRUE,IFERROR(J112,0),0))</f>
        <v/>
      </c>
      <c r="R112" s="16">
        <f>IF(A112="","",IF(M112=TRUE,IFERROR(K112,0),0))</f>
        <v/>
      </c>
      <c r="S112" s="16">
        <f>IF(A112="","",IF(M112=TRUE,IFERROR(L112,0),0))</f>
        <v/>
      </c>
      <c r="T112" s="16">
        <f>IF(A112="","",IF(M112=TRUE,IFERROR(H112,0)+IFERROR(I112,0)+IFERROR(L112,0),0))</f>
        <v/>
      </c>
    </row>
    <row r="113">
      <c r="A113" s="10" t="n"/>
      <c r="B113" s="10" t="n"/>
      <c r="C113" s="11" t="n"/>
      <c r="D113" s="11" t="n"/>
      <c r="E113" s="10" t="n"/>
      <c r="F113" s="10" t="n"/>
      <c r="G113" s="12" t="n"/>
      <c r="H113" s="13" t="n"/>
      <c r="I113" s="13" t="n"/>
      <c r="J113" s="13" t="n"/>
      <c r="K113" s="13" t="n"/>
      <c r="L113" s="13" t="n"/>
      <c r="M113" s="17">
        <f>IF(A113="","",IFERROR(VLOOKUP(A113,Raw_CurrentMonth!A:O,15,FALSE)=TRUE,FALSE))</f>
        <v/>
      </c>
      <c r="N113" s="16">
        <f>IF(A113="","",IF(M113=TRUE,IFERROR(H113,0)+IFERROR(I113,0)+IFERROR(J113,0)+IFERROR(K113,0)+IFERROR(L113,0),0))</f>
        <v/>
      </c>
      <c r="O113" s="16">
        <f>IF(A113="","",IF(M113=TRUE,IFERROR(H113,0),0))</f>
        <v/>
      </c>
      <c r="P113" s="16">
        <f>IF(A113="","",IF(M113=TRUE,IFERROR(I113,0),0))</f>
        <v/>
      </c>
      <c r="Q113" s="16">
        <f>IF(A113="","",IF(M113=TRUE,IFERROR(J113,0),0))</f>
        <v/>
      </c>
      <c r="R113" s="16">
        <f>IF(A113="","",IF(M113=TRUE,IFERROR(K113,0),0))</f>
        <v/>
      </c>
      <c r="S113" s="16">
        <f>IF(A113="","",IF(M113=TRUE,IFERROR(L113,0),0))</f>
        <v/>
      </c>
      <c r="T113" s="16">
        <f>IF(A113="","",IF(M113=TRUE,IFERROR(H113,0)+IFERROR(I113,0)+IFERROR(L113,0),0))</f>
        <v/>
      </c>
    </row>
    <row r="114">
      <c r="A114" s="10" t="n"/>
      <c r="B114" s="10" t="n"/>
      <c r="C114" s="11" t="n"/>
      <c r="D114" s="11" t="n"/>
      <c r="E114" s="10" t="n"/>
      <c r="F114" s="10" t="n"/>
      <c r="G114" s="12" t="n"/>
      <c r="H114" s="13" t="n"/>
      <c r="I114" s="13" t="n"/>
      <c r="J114" s="13" t="n"/>
      <c r="K114" s="13" t="n"/>
      <c r="L114" s="13" t="n"/>
      <c r="M114" s="17">
        <f>IF(A114="","",IFERROR(VLOOKUP(A114,Raw_CurrentMonth!A:O,15,FALSE)=TRUE,FALSE))</f>
        <v/>
      </c>
      <c r="N114" s="16">
        <f>IF(A114="","",IF(M114=TRUE,IFERROR(H114,0)+IFERROR(I114,0)+IFERROR(J114,0)+IFERROR(K114,0)+IFERROR(L114,0),0))</f>
        <v/>
      </c>
      <c r="O114" s="16">
        <f>IF(A114="","",IF(M114=TRUE,IFERROR(H114,0),0))</f>
        <v/>
      </c>
      <c r="P114" s="16">
        <f>IF(A114="","",IF(M114=TRUE,IFERROR(I114,0),0))</f>
        <v/>
      </c>
      <c r="Q114" s="16">
        <f>IF(A114="","",IF(M114=TRUE,IFERROR(J114,0),0))</f>
        <v/>
      </c>
      <c r="R114" s="16">
        <f>IF(A114="","",IF(M114=TRUE,IFERROR(K114,0),0))</f>
        <v/>
      </c>
      <c r="S114" s="16">
        <f>IF(A114="","",IF(M114=TRUE,IFERROR(L114,0),0))</f>
        <v/>
      </c>
      <c r="T114" s="16">
        <f>IF(A114="","",IF(M114=TRUE,IFERROR(H114,0)+IFERROR(I114,0)+IFERROR(L114,0),0))</f>
        <v/>
      </c>
    </row>
    <row r="115">
      <c r="A115" s="10" t="n"/>
      <c r="B115" s="10" t="n"/>
      <c r="C115" s="11" t="n"/>
      <c r="D115" s="11" t="n"/>
      <c r="E115" s="10" t="n"/>
      <c r="F115" s="10" t="n"/>
      <c r="G115" s="12" t="n"/>
      <c r="H115" s="13" t="n"/>
      <c r="I115" s="13" t="n"/>
      <c r="J115" s="13" t="n"/>
      <c r="K115" s="13" t="n"/>
      <c r="L115" s="13" t="n"/>
      <c r="M115" s="17">
        <f>IF(A115="","",IFERROR(VLOOKUP(A115,Raw_CurrentMonth!A:O,15,FALSE)=TRUE,FALSE))</f>
        <v/>
      </c>
      <c r="N115" s="16">
        <f>IF(A115="","",IF(M115=TRUE,IFERROR(H115,0)+IFERROR(I115,0)+IFERROR(J115,0)+IFERROR(K115,0)+IFERROR(L115,0),0))</f>
        <v/>
      </c>
      <c r="O115" s="16">
        <f>IF(A115="","",IF(M115=TRUE,IFERROR(H115,0),0))</f>
        <v/>
      </c>
      <c r="P115" s="16">
        <f>IF(A115="","",IF(M115=TRUE,IFERROR(I115,0),0))</f>
        <v/>
      </c>
      <c r="Q115" s="16">
        <f>IF(A115="","",IF(M115=TRUE,IFERROR(J115,0),0))</f>
        <v/>
      </c>
      <c r="R115" s="16">
        <f>IF(A115="","",IF(M115=TRUE,IFERROR(K115,0),0))</f>
        <v/>
      </c>
      <c r="S115" s="16">
        <f>IF(A115="","",IF(M115=TRUE,IFERROR(L115,0),0))</f>
        <v/>
      </c>
      <c r="T115" s="16">
        <f>IF(A115="","",IF(M115=TRUE,IFERROR(H115,0)+IFERROR(I115,0)+IFERROR(L115,0),0))</f>
        <v/>
      </c>
    </row>
    <row r="116">
      <c r="A116" s="10" t="n"/>
      <c r="B116" s="10" t="n"/>
      <c r="C116" s="11" t="n"/>
      <c r="D116" s="11" t="n"/>
      <c r="E116" s="10" t="n"/>
      <c r="F116" s="10" t="n"/>
      <c r="G116" s="12" t="n"/>
      <c r="H116" s="13" t="n"/>
      <c r="I116" s="13" t="n"/>
      <c r="J116" s="13" t="n"/>
      <c r="K116" s="13" t="n"/>
      <c r="L116" s="13" t="n"/>
      <c r="M116" s="17">
        <f>IF(A116="","",IFERROR(VLOOKUP(A116,Raw_CurrentMonth!A:O,15,FALSE)=TRUE,FALSE))</f>
        <v/>
      </c>
      <c r="N116" s="16">
        <f>IF(A116="","",IF(M116=TRUE,IFERROR(H116,0)+IFERROR(I116,0)+IFERROR(J116,0)+IFERROR(K116,0)+IFERROR(L116,0),0))</f>
        <v/>
      </c>
      <c r="O116" s="16">
        <f>IF(A116="","",IF(M116=TRUE,IFERROR(H116,0),0))</f>
        <v/>
      </c>
      <c r="P116" s="16">
        <f>IF(A116="","",IF(M116=TRUE,IFERROR(I116,0),0))</f>
        <v/>
      </c>
      <c r="Q116" s="16">
        <f>IF(A116="","",IF(M116=TRUE,IFERROR(J116,0),0))</f>
        <v/>
      </c>
      <c r="R116" s="16">
        <f>IF(A116="","",IF(M116=TRUE,IFERROR(K116,0),0))</f>
        <v/>
      </c>
      <c r="S116" s="16">
        <f>IF(A116="","",IF(M116=TRUE,IFERROR(L116,0),0))</f>
        <v/>
      </c>
      <c r="T116" s="16">
        <f>IF(A116="","",IF(M116=TRUE,IFERROR(H116,0)+IFERROR(I116,0)+IFERROR(L116,0),0))</f>
        <v/>
      </c>
    </row>
    <row r="117">
      <c r="A117" s="10" t="n"/>
      <c r="B117" s="10" t="n"/>
      <c r="C117" s="11" t="n"/>
      <c r="D117" s="11" t="n"/>
      <c r="E117" s="10" t="n"/>
      <c r="F117" s="10" t="n"/>
      <c r="G117" s="12" t="n"/>
      <c r="H117" s="13" t="n"/>
      <c r="I117" s="13" t="n"/>
      <c r="J117" s="13" t="n"/>
      <c r="K117" s="13" t="n"/>
      <c r="L117" s="13" t="n"/>
      <c r="M117" s="17">
        <f>IF(A117="","",IFERROR(VLOOKUP(A117,Raw_CurrentMonth!A:O,15,FALSE)=TRUE,FALSE))</f>
        <v/>
      </c>
      <c r="N117" s="16">
        <f>IF(A117="","",IF(M117=TRUE,IFERROR(H117,0)+IFERROR(I117,0)+IFERROR(J117,0)+IFERROR(K117,0)+IFERROR(L117,0),0))</f>
        <v/>
      </c>
      <c r="O117" s="16">
        <f>IF(A117="","",IF(M117=TRUE,IFERROR(H117,0),0))</f>
        <v/>
      </c>
      <c r="P117" s="16">
        <f>IF(A117="","",IF(M117=TRUE,IFERROR(I117,0),0))</f>
        <v/>
      </c>
      <c r="Q117" s="16">
        <f>IF(A117="","",IF(M117=TRUE,IFERROR(J117,0),0))</f>
        <v/>
      </c>
      <c r="R117" s="16">
        <f>IF(A117="","",IF(M117=TRUE,IFERROR(K117,0),0))</f>
        <v/>
      </c>
      <c r="S117" s="16">
        <f>IF(A117="","",IF(M117=TRUE,IFERROR(L117,0),0))</f>
        <v/>
      </c>
      <c r="T117" s="16">
        <f>IF(A117="","",IF(M117=TRUE,IFERROR(H117,0)+IFERROR(I117,0)+IFERROR(L117,0),0))</f>
        <v/>
      </c>
    </row>
    <row r="118">
      <c r="A118" s="10" t="n"/>
      <c r="B118" s="10" t="n"/>
      <c r="C118" s="11" t="n"/>
      <c r="D118" s="11" t="n"/>
      <c r="E118" s="10" t="n"/>
      <c r="F118" s="10" t="n"/>
      <c r="G118" s="12" t="n"/>
      <c r="H118" s="13" t="n"/>
      <c r="I118" s="13" t="n"/>
      <c r="J118" s="13" t="n"/>
      <c r="K118" s="13" t="n"/>
      <c r="L118" s="13" t="n"/>
      <c r="M118" s="17">
        <f>IF(A118="","",IFERROR(VLOOKUP(A118,Raw_CurrentMonth!A:O,15,FALSE)=TRUE,FALSE))</f>
        <v/>
      </c>
      <c r="N118" s="16">
        <f>IF(A118="","",IF(M118=TRUE,IFERROR(H118,0)+IFERROR(I118,0)+IFERROR(J118,0)+IFERROR(K118,0)+IFERROR(L118,0),0))</f>
        <v/>
      </c>
      <c r="O118" s="16">
        <f>IF(A118="","",IF(M118=TRUE,IFERROR(H118,0),0))</f>
        <v/>
      </c>
      <c r="P118" s="16">
        <f>IF(A118="","",IF(M118=TRUE,IFERROR(I118,0),0))</f>
        <v/>
      </c>
      <c r="Q118" s="16">
        <f>IF(A118="","",IF(M118=TRUE,IFERROR(J118,0),0))</f>
        <v/>
      </c>
      <c r="R118" s="16">
        <f>IF(A118="","",IF(M118=TRUE,IFERROR(K118,0),0))</f>
        <v/>
      </c>
      <c r="S118" s="16">
        <f>IF(A118="","",IF(M118=TRUE,IFERROR(L118,0),0))</f>
        <v/>
      </c>
      <c r="T118" s="16">
        <f>IF(A118="","",IF(M118=TRUE,IFERROR(H118,0)+IFERROR(I118,0)+IFERROR(L118,0),0))</f>
        <v/>
      </c>
    </row>
    <row r="119">
      <c r="A119" s="10" t="n"/>
      <c r="B119" s="10" t="n"/>
      <c r="C119" s="11" t="n"/>
      <c r="D119" s="11" t="n"/>
      <c r="E119" s="10" t="n"/>
      <c r="F119" s="10" t="n"/>
      <c r="G119" s="12" t="n"/>
      <c r="H119" s="13" t="n"/>
      <c r="I119" s="13" t="n"/>
      <c r="J119" s="13" t="n"/>
      <c r="K119" s="13" t="n"/>
      <c r="L119" s="13" t="n"/>
      <c r="M119" s="17">
        <f>IF(A119="","",IFERROR(VLOOKUP(A119,Raw_CurrentMonth!A:O,15,FALSE)=TRUE,FALSE))</f>
        <v/>
      </c>
      <c r="N119" s="16">
        <f>IF(A119="","",IF(M119=TRUE,IFERROR(H119,0)+IFERROR(I119,0)+IFERROR(J119,0)+IFERROR(K119,0)+IFERROR(L119,0),0))</f>
        <v/>
      </c>
      <c r="O119" s="16">
        <f>IF(A119="","",IF(M119=TRUE,IFERROR(H119,0),0))</f>
        <v/>
      </c>
      <c r="P119" s="16">
        <f>IF(A119="","",IF(M119=TRUE,IFERROR(I119,0),0))</f>
        <v/>
      </c>
      <c r="Q119" s="16">
        <f>IF(A119="","",IF(M119=TRUE,IFERROR(J119,0),0))</f>
        <v/>
      </c>
      <c r="R119" s="16">
        <f>IF(A119="","",IF(M119=TRUE,IFERROR(K119,0),0))</f>
        <v/>
      </c>
      <c r="S119" s="16">
        <f>IF(A119="","",IF(M119=TRUE,IFERROR(L119,0),0))</f>
        <v/>
      </c>
      <c r="T119" s="16">
        <f>IF(A119="","",IF(M119=TRUE,IFERROR(H119,0)+IFERROR(I119,0)+IFERROR(L119,0),0))</f>
        <v/>
      </c>
    </row>
    <row r="120">
      <c r="A120" s="10" t="n"/>
      <c r="B120" s="10" t="n"/>
      <c r="C120" s="11" t="n"/>
      <c r="D120" s="11" t="n"/>
      <c r="E120" s="10" t="n"/>
      <c r="F120" s="10" t="n"/>
      <c r="G120" s="12" t="n"/>
      <c r="H120" s="13" t="n"/>
      <c r="I120" s="13" t="n"/>
      <c r="J120" s="13" t="n"/>
      <c r="K120" s="13" t="n"/>
      <c r="L120" s="13" t="n"/>
      <c r="M120" s="17">
        <f>IF(A120="","",IFERROR(VLOOKUP(A120,Raw_CurrentMonth!A:O,15,FALSE)=TRUE,FALSE))</f>
        <v/>
      </c>
      <c r="N120" s="16">
        <f>IF(A120="","",IF(M120=TRUE,IFERROR(H120,0)+IFERROR(I120,0)+IFERROR(J120,0)+IFERROR(K120,0)+IFERROR(L120,0),0))</f>
        <v/>
      </c>
      <c r="O120" s="16">
        <f>IF(A120="","",IF(M120=TRUE,IFERROR(H120,0),0))</f>
        <v/>
      </c>
      <c r="P120" s="16">
        <f>IF(A120="","",IF(M120=TRUE,IFERROR(I120,0),0))</f>
        <v/>
      </c>
      <c r="Q120" s="16">
        <f>IF(A120="","",IF(M120=TRUE,IFERROR(J120,0),0))</f>
        <v/>
      </c>
      <c r="R120" s="16">
        <f>IF(A120="","",IF(M120=TRUE,IFERROR(K120,0),0))</f>
        <v/>
      </c>
      <c r="S120" s="16">
        <f>IF(A120="","",IF(M120=TRUE,IFERROR(L120,0),0))</f>
        <v/>
      </c>
      <c r="T120" s="16">
        <f>IF(A120="","",IF(M120=TRUE,IFERROR(H120,0)+IFERROR(I120,0)+IFERROR(L120,0),0))</f>
        <v/>
      </c>
    </row>
    <row r="121">
      <c r="A121" s="10" t="n"/>
      <c r="B121" s="10" t="n"/>
      <c r="C121" s="11" t="n"/>
      <c r="D121" s="11" t="n"/>
      <c r="E121" s="10" t="n"/>
      <c r="F121" s="10" t="n"/>
      <c r="G121" s="12" t="n"/>
      <c r="H121" s="13" t="n"/>
      <c r="I121" s="13" t="n"/>
      <c r="J121" s="13" t="n"/>
      <c r="K121" s="13" t="n"/>
      <c r="L121" s="13" t="n"/>
      <c r="M121" s="17">
        <f>IF(A121="","",IFERROR(VLOOKUP(A121,Raw_CurrentMonth!A:O,15,FALSE)=TRUE,FALSE))</f>
        <v/>
      </c>
      <c r="N121" s="16">
        <f>IF(A121="","",IF(M121=TRUE,IFERROR(H121,0)+IFERROR(I121,0)+IFERROR(J121,0)+IFERROR(K121,0)+IFERROR(L121,0),0))</f>
        <v/>
      </c>
      <c r="O121" s="16">
        <f>IF(A121="","",IF(M121=TRUE,IFERROR(H121,0),0))</f>
        <v/>
      </c>
      <c r="P121" s="16">
        <f>IF(A121="","",IF(M121=TRUE,IFERROR(I121,0),0))</f>
        <v/>
      </c>
      <c r="Q121" s="16">
        <f>IF(A121="","",IF(M121=TRUE,IFERROR(J121,0),0))</f>
        <v/>
      </c>
      <c r="R121" s="16">
        <f>IF(A121="","",IF(M121=TRUE,IFERROR(K121,0),0))</f>
        <v/>
      </c>
      <c r="S121" s="16">
        <f>IF(A121="","",IF(M121=TRUE,IFERROR(L121,0),0))</f>
        <v/>
      </c>
      <c r="T121" s="16">
        <f>IF(A121="","",IF(M121=TRUE,IFERROR(H121,0)+IFERROR(I121,0)+IFERROR(L121,0),0))</f>
        <v/>
      </c>
    </row>
    <row r="122">
      <c r="A122" s="10" t="n"/>
      <c r="B122" s="10" t="n"/>
      <c r="C122" s="11" t="n"/>
      <c r="D122" s="11" t="n"/>
      <c r="E122" s="10" t="n"/>
      <c r="F122" s="10" t="n"/>
      <c r="G122" s="12" t="n"/>
      <c r="H122" s="13" t="n"/>
      <c r="I122" s="13" t="n"/>
      <c r="J122" s="13" t="n"/>
      <c r="K122" s="13" t="n"/>
      <c r="L122" s="13" t="n"/>
      <c r="M122" s="17">
        <f>IF(A122="","",IFERROR(VLOOKUP(A122,Raw_CurrentMonth!A:O,15,FALSE)=TRUE,FALSE))</f>
        <v/>
      </c>
      <c r="N122" s="16">
        <f>IF(A122="","",IF(M122=TRUE,IFERROR(H122,0)+IFERROR(I122,0)+IFERROR(J122,0)+IFERROR(K122,0)+IFERROR(L122,0),0))</f>
        <v/>
      </c>
      <c r="O122" s="16">
        <f>IF(A122="","",IF(M122=TRUE,IFERROR(H122,0),0))</f>
        <v/>
      </c>
      <c r="P122" s="16">
        <f>IF(A122="","",IF(M122=TRUE,IFERROR(I122,0),0))</f>
        <v/>
      </c>
      <c r="Q122" s="16">
        <f>IF(A122="","",IF(M122=TRUE,IFERROR(J122,0),0))</f>
        <v/>
      </c>
      <c r="R122" s="16">
        <f>IF(A122="","",IF(M122=TRUE,IFERROR(K122,0),0))</f>
        <v/>
      </c>
      <c r="S122" s="16">
        <f>IF(A122="","",IF(M122=TRUE,IFERROR(L122,0),0))</f>
        <v/>
      </c>
      <c r="T122" s="16">
        <f>IF(A122="","",IF(M122=TRUE,IFERROR(H122,0)+IFERROR(I122,0)+IFERROR(L122,0),0))</f>
        <v/>
      </c>
    </row>
    <row r="123">
      <c r="A123" s="10" t="n"/>
      <c r="B123" s="10" t="n"/>
      <c r="C123" s="11" t="n"/>
      <c r="D123" s="11" t="n"/>
      <c r="E123" s="10" t="n"/>
      <c r="F123" s="10" t="n"/>
      <c r="G123" s="12" t="n"/>
      <c r="H123" s="13" t="n"/>
      <c r="I123" s="13" t="n"/>
      <c r="J123" s="13" t="n"/>
      <c r="K123" s="13" t="n"/>
      <c r="L123" s="13" t="n"/>
      <c r="M123" s="17">
        <f>IF(A123="","",IFERROR(VLOOKUP(A123,Raw_CurrentMonth!A:O,15,FALSE)=TRUE,FALSE))</f>
        <v/>
      </c>
      <c r="N123" s="16">
        <f>IF(A123="","",IF(M123=TRUE,IFERROR(H123,0)+IFERROR(I123,0)+IFERROR(J123,0)+IFERROR(K123,0)+IFERROR(L123,0),0))</f>
        <v/>
      </c>
      <c r="O123" s="16">
        <f>IF(A123="","",IF(M123=TRUE,IFERROR(H123,0),0))</f>
        <v/>
      </c>
      <c r="P123" s="16">
        <f>IF(A123="","",IF(M123=TRUE,IFERROR(I123,0),0))</f>
        <v/>
      </c>
      <c r="Q123" s="16">
        <f>IF(A123="","",IF(M123=TRUE,IFERROR(J123,0),0))</f>
        <v/>
      </c>
      <c r="R123" s="16">
        <f>IF(A123="","",IF(M123=TRUE,IFERROR(K123,0),0))</f>
        <v/>
      </c>
      <c r="S123" s="16">
        <f>IF(A123="","",IF(M123=TRUE,IFERROR(L123,0),0))</f>
        <v/>
      </c>
      <c r="T123" s="16">
        <f>IF(A123="","",IF(M123=TRUE,IFERROR(H123,0)+IFERROR(I123,0)+IFERROR(L123,0),0))</f>
        <v/>
      </c>
    </row>
    <row r="124">
      <c r="A124" s="10" t="n"/>
      <c r="B124" s="10" t="n"/>
      <c r="C124" s="11" t="n"/>
      <c r="D124" s="11" t="n"/>
      <c r="E124" s="10" t="n"/>
      <c r="F124" s="10" t="n"/>
      <c r="G124" s="12" t="n"/>
      <c r="H124" s="13" t="n"/>
      <c r="I124" s="13" t="n"/>
      <c r="J124" s="13" t="n"/>
      <c r="K124" s="13" t="n"/>
      <c r="L124" s="13" t="n"/>
      <c r="M124" s="17">
        <f>IF(A124="","",IFERROR(VLOOKUP(A124,Raw_CurrentMonth!A:O,15,FALSE)=TRUE,FALSE))</f>
        <v/>
      </c>
      <c r="N124" s="16">
        <f>IF(A124="","",IF(M124=TRUE,IFERROR(H124,0)+IFERROR(I124,0)+IFERROR(J124,0)+IFERROR(K124,0)+IFERROR(L124,0),0))</f>
        <v/>
      </c>
      <c r="O124" s="16">
        <f>IF(A124="","",IF(M124=TRUE,IFERROR(H124,0),0))</f>
        <v/>
      </c>
      <c r="P124" s="16">
        <f>IF(A124="","",IF(M124=TRUE,IFERROR(I124,0),0))</f>
        <v/>
      </c>
      <c r="Q124" s="16">
        <f>IF(A124="","",IF(M124=TRUE,IFERROR(J124,0),0))</f>
        <v/>
      </c>
      <c r="R124" s="16">
        <f>IF(A124="","",IF(M124=TRUE,IFERROR(K124,0),0))</f>
        <v/>
      </c>
      <c r="S124" s="16">
        <f>IF(A124="","",IF(M124=TRUE,IFERROR(L124,0),0))</f>
        <v/>
      </c>
      <c r="T124" s="16">
        <f>IF(A124="","",IF(M124=TRUE,IFERROR(H124,0)+IFERROR(I124,0)+IFERROR(L124,0),0))</f>
        <v/>
      </c>
    </row>
    <row r="125">
      <c r="A125" s="10" t="n"/>
      <c r="B125" s="10" t="n"/>
      <c r="C125" s="11" t="n"/>
      <c r="D125" s="11" t="n"/>
      <c r="E125" s="10" t="n"/>
      <c r="F125" s="10" t="n"/>
      <c r="G125" s="12" t="n"/>
      <c r="H125" s="13" t="n"/>
      <c r="I125" s="13" t="n"/>
      <c r="J125" s="13" t="n"/>
      <c r="K125" s="13" t="n"/>
      <c r="L125" s="13" t="n"/>
      <c r="M125" s="17">
        <f>IF(A125="","",IFERROR(VLOOKUP(A125,Raw_CurrentMonth!A:O,15,FALSE)=TRUE,FALSE))</f>
        <v/>
      </c>
      <c r="N125" s="16">
        <f>IF(A125="","",IF(M125=TRUE,IFERROR(H125,0)+IFERROR(I125,0)+IFERROR(J125,0)+IFERROR(K125,0)+IFERROR(L125,0),0))</f>
        <v/>
      </c>
      <c r="O125" s="16">
        <f>IF(A125="","",IF(M125=TRUE,IFERROR(H125,0),0))</f>
        <v/>
      </c>
      <c r="P125" s="16">
        <f>IF(A125="","",IF(M125=TRUE,IFERROR(I125,0),0))</f>
        <v/>
      </c>
      <c r="Q125" s="16">
        <f>IF(A125="","",IF(M125=TRUE,IFERROR(J125,0),0))</f>
        <v/>
      </c>
      <c r="R125" s="16">
        <f>IF(A125="","",IF(M125=TRUE,IFERROR(K125,0),0))</f>
        <v/>
      </c>
      <c r="S125" s="16">
        <f>IF(A125="","",IF(M125=TRUE,IFERROR(L125,0),0))</f>
        <v/>
      </c>
      <c r="T125" s="16">
        <f>IF(A125="","",IF(M125=TRUE,IFERROR(H125,0)+IFERROR(I125,0)+IFERROR(L125,0),0))</f>
        <v/>
      </c>
    </row>
    <row r="126">
      <c r="A126" s="10" t="n"/>
      <c r="B126" s="10" t="n"/>
      <c r="C126" s="11" t="n"/>
      <c r="D126" s="11" t="n"/>
      <c r="E126" s="10" t="n"/>
      <c r="F126" s="10" t="n"/>
      <c r="G126" s="12" t="n"/>
      <c r="H126" s="13" t="n"/>
      <c r="I126" s="13" t="n"/>
      <c r="J126" s="13" t="n"/>
      <c r="K126" s="13" t="n"/>
      <c r="L126" s="13" t="n"/>
      <c r="M126" s="17">
        <f>IF(A126="","",IFERROR(VLOOKUP(A126,Raw_CurrentMonth!A:O,15,FALSE)=TRUE,FALSE))</f>
        <v/>
      </c>
      <c r="N126" s="16">
        <f>IF(A126="","",IF(M126=TRUE,IFERROR(H126,0)+IFERROR(I126,0)+IFERROR(J126,0)+IFERROR(K126,0)+IFERROR(L126,0),0))</f>
        <v/>
      </c>
      <c r="O126" s="16">
        <f>IF(A126="","",IF(M126=TRUE,IFERROR(H126,0),0))</f>
        <v/>
      </c>
      <c r="P126" s="16">
        <f>IF(A126="","",IF(M126=TRUE,IFERROR(I126,0),0))</f>
        <v/>
      </c>
      <c r="Q126" s="16">
        <f>IF(A126="","",IF(M126=TRUE,IFERROR(J126,0),0))</f>
        <v/>
      </c>
      <c r="R126" s="16">
        <f>IF(A126="","",IF(M126=TRUE,IFERROR(K126,0),0))</f>
        <v/>
      </c>
      <c r="S126" s="16">
        <f>IF(A126="","",IF(M126=TRUE,IFERROR(L126,0),0))</f>
        <v/>
      </c>
      <c r="T126" s="16">
        <f>IF(A126="","",IF(M126=TRUE,IFERROR(H126,0)+IFERROR(I126,0)+IFERROR(L126,0),0))</f>
        <v/>
      </c>
    </row>
    <row r="127">
      <c r="A127" s="10" t="n"/>
      <c r="B127" s="10" t="n"/>
      <c r="C127" s="11" t="n"/>
      <c r="D127" s="11" t="n"/>
      <c r="E127" s="10" t="n"/>
      <c r="F127" s="10" t="n"/>
      <c r="G127" s="12" t="n"/>
      <c r="H127" s="13" t="n"/>
      <c r="I127" s="13" t="n"/>
      <c r="J127" s="13" t="n"/>
      <c r="K127" s="13" t="n"/>
      <c r="L127" s="13" t="n"/>
      <c r="M127" s="17">
        <f>IF(A127="","",IFERROR(VLOOKUP(A127,Raw_CurrentMonth!A:O,15,FALSE)=TRUE,FALSE))</f>
        <v/>
      </c>
      <c r="N127" s="16">
        <f>IF(A127="","",IF(M127=TRUE,IFERROR(H127,0)+IFERROR(I127,0)+IFERROR(J127,0)+IFERROR(K127,0)+IFERROR(L127,0),0))</f>
        <v/>
      </c>
      <c r="O127" s="16">
        <f>IF(A127="","",IF(M127=TRUE,IFERROR(H127,0),0))</f>
        <v/>
      </c>
      <c r="P127" s="16">
        <f>IF(A127="","",IF(M127=TRUE,IFERROR(I127,0),0))</f>
        <v/>
      </c>
      <c r="Q127" s="16">
        <f>IF(A127="","",IF(M127=TRUE,IFERROR(J127,0),0))</f>
        <v/>
      </c>
      <c r="R127" s="16">
        <f>IF(A127="","",IF(M127=TRUE,IFERROR(K127,0),0))</f>
        <v/>
      </c>
      <c r="S127" s="16">
        <f>IF(A127="","",IF(M127=TRUE,IFERROR(L127,0),0))</f>
        <v/>
      </c>
      <c r="T127" s="16">
        <f>IF(A127="","",IF(M127=TRUE,IFERROR(H127,0)+IFERROR(I127,0)+IFERROR(L127,0),0))</f>
        <v/>
      </c>
    </row>
    <row r="128">
      <c r="A128" s="10" t="n"/>
      <c r="B128" s="10" t="n"/>
      <c r="C128" s="11" t="n"/>
      <c r="D128" s="11" t="n"/>
      <c r="E128" s="10" t="n"/>
      <c r="F128" s="10" t="n"/>
      <c r="G128" s="12" t="n"/>
      <c r="H128" s="13" t="n"/>
      <c r="I128" s="13" t="n"/>
      <c r="J128" s="13" t="n"/>
      <c r="K128" s="13" t="n"/>
      <c r="L128" s="13" t="n"/>
      <c r="M128" s="17">
        <f>IF(A128="","",IFERROR(VLOOKUP(A128,Raw_CurrentMonth!A:O,15,FALSE)=TRUE,FALSE))</f>
        <v/>
      </c>
      <c r="N128" s="16">
        <f>IF(A128="","",IF(M128=TRUE,IFERROR(H128,0)+IFERROR(I128,0)+IFERROR(J128,0)+IFERROR(K128,0)+IFERROR(L128,0),0))</f>
        <v/>
      </c>
      <c r="O128" s="16">
        <f>IF(A128="","",IF(M128=TRUE,IFERROR(H128,0),0))</f>
        <v/>
      </c>
      <c r="P128" s="16">
        <f>IF(A128="","",IF(M128=TRUE,IFERROR(I128,0),0))</f>
        <v/>
      </c>
      <c r="Q128" s="16">
        <f>IF(A128="","",IF(M128=TRUE,IFERROR(J128,0),0))</f>
        <v/>
      </c>
      <c r="R128" s="16">
        <f>IF(A128="","",IF(M128=TRUE,IFERROR(K128,0),0))</f>
        <v/>
      </c>
      <c r="S128" s="16">
        <f>IF(A128="","",IF(M128=TRUE,IFERROR(L128,0),0))</f>
        <v/>
      </c>
      <c r="T128" s="16">
        <f>IF(A128="","",IF(M128=TRUE,IFERROR(H128,0)+IFERROR(I128,0)+IFERROR(L128,0),0))</f>
        <v/>
      </c>
    </row>
    <row r="129">
      <c r="A129" s="10" t="n"/>
      <c r="B129" s="10" t="n"/>
      <c r="C129" s="11" t="n"/>
      <c r="D129" s="11" t="n"/>
      <c r="E129" s="10" t="n"/>
      <c r="F129" s="10" t="n"/>
      <c r="G129" s="12" t="n"/>
      <c r="H129" s="13" t="n"/>
      <c r="I129" s="13" t="n"/>
      <c r="J129" s="13" t="n"/>
      <c r="K129" s="13" t="n"/>
      <c r="L129" s="13" t="n"/>
      <c r="M129" s="17">
        <f>IF(A129="","",IFERROR(VLOOKUP(A129,Raw_CurrentMonth!A:O,15,FALSE)=TRUE,FALSE))</f>
        <v/>
      </c>
      <c r="N129" s="16">
        <f>IF(A129="","",IF(M129=TRUE,IFERROR(H129,0)+IFERROR(I129,0)+IFERROR(J129,0)+IFERROR(K129,0)+IFERROR(L129,0),0))</f>
        <v/>
      </c>
      <c r="O129" s="16">
        <f>IF(A129="","",IF(M129=TRUE,IFERROR(H129,0),0))</f>
        <v/>
      </c>
      <c r="P129" s="16">
        <f>IF(A129="","",IF(M129=TRUE,IFERROR(I129,0),0))</f>
        <v/>
      </c>
      <c r="Q129" s="16">
        <f>IF(A129="","",IF(M129=TRUE,IFERROR(J129,0),0))</f>
        <v/>
      </c>
      <c r="R129" s="16">
        <f>IF(A129="","",IF(M129=TRUE,IFERROR(K129,0),0))</f>
        <v/>
      </c>
      <c r="S129" s="16">
        <f>IF(A129="","",IF(M129=TRUE,IFERROR(L129,0),0))</f>
        <v/>
      </c>
      <c r="T129" s="16">
        <f>IF(A129="","",IF(M129=TRUE,IFERROR(H129,0)+IFERROR(I129,0)+IFERROR(L129,0),0))</f>
        <v/>
      </c>
    </row>
    <row r="130">
      <c r="A130" s="10" t="n"/>
      <c r="B130" s="10" t="n"/>
      <c r="C130" s="11" t="n"/>
      <c r="D130" s="11" t="n"/>
      <c r="E130" s="10" t="n"/>
      <c r="F130" s="10" t="n"/>
      <c r="G130" s="12" t="n"/>
      <c r="H130" s="13" t="n"/>
      <c r="I130" s="13" t="n"/>
      <c r="J130" s="13" t="n"/>
      <c r="K130" s="13" t="n"/>
      <c r="L130" s="13" t="n"/>
      <c r="M130" s="17">
        <f>IF(A130="","",IFERROR(VLOOKUP(A130,Raw_CurrentMonth!A:O,15,FALSE)=TRUE,FALSE))</f>
        <v/>
      </c>
      <c r="N130" s="16">
        <f>IF(A130="","",IF(M130=TRUE,IFERROR(H130,0)+IFERROR(I130,0)+IFERROR(J130,0)+IFERROR(K130,0)+IFERROR(L130,0),0))</f>
        <v/>
      </c>
      <c r="O130" s="16">
        <f>IF(A130="","",IF(M130=TRUE,IFERROR(H130,0),0))</f>
        <v/>
      </c>
      <c r="P130" s="16">
        <f>IF(A130="","",IF(M130=TRUE,IFERROR(I130,0),0))</f>
        <v/>
      </c>
      <c r="Q130" s="16">
        <f>IF(A130="","",IF(M130=TRUE,IFERROR(J130,0),0))</f>
        <v/>
      </c>
      <c r="R130" s="16">
        <f>IF(A130="","",IF(M130=TRUE,IFERROR(K130,0),0))</f>
        <v/>
      </c>
      <c r="S130" s="16">
        <f>IF(A130="","",IF(M130=TRUE,IFERROR(L130,0),0))</f>
        <v/>
      </c>
      <c r="T130" s="16">
        <f>IF(A130="","",IF(M130=TRUE,IFERROR(H130,0)+IFERROR(I130,0)+IFERROR(L130,0),0))</f>
        <v/>
      </c>
    </row>
    <row r="131">
      <c r="A131" s="10" t="n"/>
      <c r="B131" s="10" t="n"/>
      <c r="C131" s="11" t="n"/>
      <c r="D131" s="11" t="n"/>
      <c r="E131" s="10" t="n"/>
      <c r="F131" s="10" t="n"/>
      <c r="G131" s="12" t="n"/>
      <c r="H131" s="13" t="n"/>
      <c r="I131" s="13" t="n"/>
      <c r="J131" s="13" t="n"/>
      <c r="K131" s="13" t="n"/>
      <c r="L131" s="13" t="n"/>
      <c r="M131" s="17">
        <f>IF(A131="","",IFERROR(VLOOKUP(A131,Raw_CurrentMonth!A:O,15,FALSE)=TRUE,FALSE))</f>
        <v/>
      </c>
      <c r="N131" s="16">
        <f>IF(A131="","",IF(M131=TRUE,IFERROR(H131,0)+IFERROR(I131,0)+IFERROR(J131,0)+IFERROR(K131,0)+IFERROR(L131,0),0))</f>
        <v/>
      </c>
      <c r="O131" s="16">
        <f>IF(A131="","",IF(M131=TRUE,IFERROR(H131,0),0))</f>
        <v/>
      </c>
      <c r="P131" s="16">
        <f>IF(A131="","",IF(M131=TRUE,IFERROR(I131,0),0))</f>
        <v/>
      </c>
      <c r="Q131" s="16">
        <f>IF(A131="","",IF(M131=TRUE,IFERROR(J131,0),0))</f>
        <v/>
      </c>
      <c r="R131" s="16">
        <f>IF(A131="","",IF(M131=TRUE,IFERROR(K131,0),0))</f>
        <v/>
      </c>
      <c r="S131" s="16">
        <f>IF(A131="","",IF(M131=TRUE,IFERROR(L131,0),0))</f>
        <v/>
      </c>
      <c r="T131" s="16">
        <f>IF(A131="","",IF(M131=TRUE,IFERROR(H131,0)+IFERROR(I131,0)+IFERROR(L131,0),0))</f>
        <v/>
      </c>
    </row>
    <row r="132">
      <c r="A132" s="10" t="n"/>
      <c r="B132" s="10" t="n"/>
      <c r="C132" s="11" t="n"/>
      <c r="D132" s="11" t="n"/>
      <c r="E132" s="10" t="n"/>
      <c r="F132" s="10" t="n"/>
      <c r="G132" s="12" t="n"/>
      <c r="H132" s="13" t="n"/>
      <c r="I132" s="13" t="n"/>
      <c r="J132" s="13" t="n"/>
      <c r="K132" s="13" t="n"/>
      <c r="L132" s="13" t="n"/>
      <c r="M132" s="17">
        <f>IF(A132="","",IFERROR(VLOOKUP(A132,Raw_CurrentMonth!A:O,15,FALSE)=TRUE,FALSE))</f>
        <v/>
      </c>
      <c r="N132" s="16">
        <f>IF(A132="","",IF(M132=TRUE,IFERROR(H132,0)+IFERROR(I132,0)+IFERROR(J132,0)+IFERROR(K132,0)+IFERROR(L132,0),0))</f>
        <v/>
      </c>
      <c r="O132" s="16">
        <f>IF(A132="","",IF(M132=TRUE,IFERROR(H132,0),0))</f>
        <v/>
      </c>
      <c r="P132" s="16">
        <f>IF(A132="","",IF(M132=TRUE,IFERROR(I132,0),0))</f>
        <v/>
      </c>
      <c r="Q132" s="16">
        <f>IF(A132="","",IF(M132=TRUE,IFERROR(J132,0),0))</f>
        <v/>
      </c>
      <c r="R132" s="16">
        <f>IF(A132="","",IF(M132=TRUE,IFERROR(K132,0),0))</f>
        <v/>
      </c>
      <c r="S132" s="16">
        <f>IF(A132="","",IF(M132=TRUE,IFERROR(L132,0),0))</f>
        <v/>
      </c>
      <c r="T132" s="16">
        <f>IF(A132="","",IF(M132=TRUE,IFERROR(H132,0)+IFERROR(I132,0)+IFERROR(L132,0),0))</f>
        <v/>
      </c>
    </row>
    <row r="133">
      <c r="A133" s="10" t="n"/>
      <c r="B133" s="10" t="n"/>
      <c r="C133" s="11" t="n"/>
      <c r="D133" s="11" t="n"/>
      <c r="E133" s="10" t="n"/>
      <c r="F133" s="10" t="n"/>
      <c r="G133" s="12" t="n"/>
      <c r="H133" s="13" t="n"/>
      <c r="I133" s="13" t="n"/>
      <c r="J133" s="13" t="n"/>
      <c r="K133" s="13" t="n"/>
      <c r="L133" s="13" t="n"/>
      <c r="M133" s="17">
        <f>IF(A133="","",IFERROR(VLOOKUP(A133,Raw_CurrentMonth!A:O,15,FALSE)=TRUE,FALSE))</f>
        <v/>
      </c>
      <c r="N133" s="16">
        <f>IF(A133="","",IF(M133=TRUE,IFERROR(H133,0)+IFERROR(I133,0)+IFERROR(J133,0)+IFERROR(K133,0)+IFERROR(L133,0),0))</f>
        <v/>
      </c>
      <c r="O133" s="16">
        <f>IF(A133="","",IF(M133=TRUE,IFERROR(H133,0),0))</f>
        <v/>
      </c>
      <c r="P133" s="16">
        <f>IF(A133="","",IF(M133=TRUE,IFERROR(I133,0),0))</f>
        <v/>
      </c>
      <c r="Q133" s="16">
        <f>IF(A133="","",IF(M133=TRUE,IFERROR(J133,0),0))</f>
        <v/>
      </c>
      <c r="R133" s="16">
        <f>IF(A133="","",IF(M133=TRUE,IFERROR(K133,0),0))</f>
        <v/>
      </c>
      <c r="S133" s="16">
        <f>IF(A133="","",IF(M133=TRUE,IFERROR(L133,0),0))</f>
        <v/>
      </c>
      <c r="T133" s="16">
        <f>IF(A133="","",IF(M133=TRUE,IFERROR(H133,0)+IFERROR(I133,0)+IFERROR(L133,0),0))</f>
        <v/>
      </c>
    </row>
    <row r="134">
      <c r="A134" s="10" t="n"/>
      <c r="B134" s="10" t="n"/>
      <c r="C134" s="11" t="n"/>
      <c r="D134" s="11" t="n"/>
      <c r="E134" s="10" t="n"/>
      <c r="F134" s="10" t="n"/>
      <c r="G134" s="12" t="n"/>
      <c r="H134" s="13" t="n"/>
      <c r="I134" s="13" t="n"/>
      <c r="J134" s="13" t="n"/>
      <c r="K134" s="13" t="n"/>
      <c r="L134" s="13" t="n"/>
      <c r="M134" s="17">
        <f>IF(A134="","",IFERROR(VLOOKUP(A134,Raw_CurrentMonth!A:O,15,FALSE)=TRUE,FALSE))</f>
        <v/>
      </c>
      <c r="N134" s="16">
        <f>IF(A134="","",IF(M134=TRUE,IFERROR(H134,0)+IFERROR(I134,0)+IFERROR(J134,0)+IFERROR(K134,0)+IFERROR(L134,0),0))</f>
        <v/>
      </c>
      <c r="O134" s="16">
        <f>IF(A134="","",IF(M134=TRUE,IFERROR(H134,0),0))</f>
        <v/>
      </c>
      <c r="P134" s="16">
        <f>IF(A134="","",IF(M134=TRUE,IFERROR(I134,0),0))</f>
        <v/>
      </c>
      <c r="Q134" s="16">
        <f>IF(A134="","",IF(M134=TRUE,IFERROR(J134,0),0))</f>
        <v/>
      </c>
      <c r="R134" s="16">
        <f>IF(A134="","",IF(M134=TRUE,IFERROR(K134,0),0))</f>
        <v/>
      </c>
      <c r="S134" s="16">
        <f>IF(A134="","",IF(M134=TRUE,IFERROR(L134,0),0))</f>
        <v/>
      </c>
      <c r="T134" s="16">
        <f>IF(A134="","",IF(M134=TRUE,IFERROR(H134,0)+IFERROR(I134,0)+IFERROR(L134,0),0))</f>
        <v/>
      </c>
    </row>
    <row r="135">
      <c r="A135" s="10" t="n"/>
      <c r="B135" s="10" t="n"/>
      <c r="C135" s="11" t="n"/>
      <c r="D135" s="11" t="n"/>
      <c r="E135" s="10" t="n"/>
      <c r="F135" s="10" t="n"/>
      <c r="G135" s="12" t="n"/>
      <c r="H135" s="13" t="n"/>
      <c r="I135" s="13" t="n"/>
      <c r="J135" s="13" t="n"/>
      <c r="K135" s="13" t="n"/>
      <c r="L135" s="13" t="n"/>
      <c r="M135" s="17">
        <f>IF(A135="","",IFERROR(VLOOKUP(A135,Raw_CurrentMonth!A:O,15,FALSE)=TRUE,FALSE))</f>
        <v/>
      </c>
      <c r="N135" s="16">
        <f>IF(A135="","",IF(M135=TRUE,IFERROR(H135,0)+IFERROR(I135,0)+IFERROR(J135,0)+IFERROR(K135,0)+IFERROR(L135,0),0))</f>
        <v/>
      </c>
      <c r="O135" s="16">
        <f>IF(A135="","",IF(M135=TRUE,IFERROR(H135,0),0))</f>
        <v/>
      </c>
      <c r="P135" s="16">
        <f>IF(A135="","",IF(M135=TRUE,IFERROR(I135,0),0))</f>
        <v/>
      </c>
      <c r="Q135" s="16">
        <f>IF(A135="","",IF(M135=TRUE,IFERROR(J135,0),0))</f>
        <v/>
      </c>
      <c r="R135" s="16">
        <f>IF(A135="","",IF(M135=TRUE,IFERROR(K135,0),0))</f>
        <v/>
      </c>
      <c r="S135" s="16">
        <f>IF(A135="","",IF(M135=TRUE,IFERROR(L135,0),0))</f>
        <v/>
      </c>
      <c r="T135" s="16">
        <f>IF(A135="","",IF(M135=TRUE,IFERROR(H135,0)+IFERROR(I135,0)+IFERROR(L135,0),0))</f>
        <v/>
      </c>
    </row>
    <row r="136">
      <c r="A136" s="10" t="n"/>
      <c r="B136" s="10" t="n"/>
      <c r="C136" s="11" t="n"/>
      <c r="D136" s="11" t="n"/>
      <c r="E136" s="10" t="n"/>
      <c r="F136" s="10" t="n"/>
      <c r="G136" s="12" t="n"/>
      <c r="H136" s="13" t="n"/>
      <c r="I136" s="13" t="n"/>
      <c r="J136" s="13" t="n"/>
      <c r="K136" s="13" t="n"/>
      <c r="L136" s="13" t="n"/>
      <c r="M136" s="17">
        <f>IF(A136="","",IFERROR(VLOOKUP(A136,Raw_CurrentMonth!A:O,15,FALSE)=TRUE,FALSE))</f>
        <v/>
      </c>
      <c r="N136" s="16">
        <f>IF(A136="","",IF(M136=TRUE,IFERROR(H136,0)+IFERROR(I136,0)+IFERROR(J136,0)+IFERROR(K136,0)+IFERROR(L136,0),0))</f>
        <v/>
      </c>
      <c r="O136" s="16">
        <f>IF(A136="","",IF(M136=TRUE,IFERROR(H136,0),0))</f>
        <v/>
      </c>
      <c r="P136" s="16">
        <f>IF(A136="","",IF(M136=TRUE,IFERROR(I136,0),0))</f>
        <v/>
      </c>
      <c r="Q136" s="16">
        <f>IF(A136="","",IF(M136=TRUE,IFERROR(J136,0),0))</f>
        <v/>
      </c>
      <c r="R136" s="16">
        <f>IF(A136="","",IF(M136=TRUE,IFERROR(K136,0),0))</f>
        <v/>
      </c>
      <c r="S136" s="16">
        <f>IF(A136="","",IF(M136=TRUE,IFERROR(L136,0),0))</f>
        <v/>
      </c>
      <c r="T136" s="16">
        <f>IF(A136="","",IF(M136=TRUE,IFERROR(H136,0)+IFERROR(I136,0)+IFERROR(L136,0),0))</f>
        <v/>
      </c>
    </row>
    <row r="137">
      <c r="A137" s="10" t="n"/>
      <c r="B137" s="10" t="n"/>
      <c r="C137" s="11" t="n"/>
      <c r="D137" s="11" t="n"/>
      <c r="E137" s="10" t="n"/>
      <c r="F137" s="10" t="n"/>
      <c r="G137" s="12" t="n"/>
      <c r="H137" s="13" t="n"/>
      <c r="I137" s="13" t="n"/>
      <c r="J137" s="13" t="n"/>
      <c r="K137" s="13" t="n"/>
      <c r="L137" s="13" t="n"/>
      <c r="M137" s="17">
        <f>IF(A137="","",IFERROR(VLOOKUP(A137,Raw_CurrentMonth!A:O,15,FALSE)=TRUE,FALSE))</f>
        <v/>
      </c>
      <c r="N137" s="16">
        <f>IF(A137="","",IF(M137=TRUE,IFERROR(H137,0)+IFERROR(I137,0)+IFERROR(J137,0)+IFERROR(K137,0)+IFERROR(L137,0),0))</f>
        <v/>
      </c>
      <c r="O137" s="16">
        <f>IF(A137="","",IF(M137=TRUE,IFERROR(H137,0),0))</f>
        <v/>
      </c>
      <c r="P137" s="16">
        <f>IF(A137="","",IF(M137=TRUE,IFERROR(I137,0),0))</f>
        <v/>
      </c>
      <c r="Q137" s="16">
        <f>IF(A137="","",IF(M137=TRUE,IFERROR(J137,0),0))</f>
        <v/>
      </c>
      <c r="R137" s="16">
        <f>IF(A137="","",IF(M137=TRUE,IFERROR(K137,0),0))</f>
        <v/>
      </c>
      <c r="S137" s="16">
        <f>IF(A137="","",IF(M137=TRUE,IFERROR(L137,0),0))</f>
        <v/>
      </c>
      <c r="T137" s="16">
        <f>IF(A137="","",IF(M137=TRUE,IFERROR(H137,0)+IFERROR(I137,0)+IFERROR(L137,0),0))</f>
        <v/>
      </c>
    </row>
    <row r="138">
      <c r="A138" s="10" t="n"/>
      <c r="B138" s="10" t="n"/>
      <c r="C138" s="11" t="n"/>
      <c r="D138" s="11" t="n"/>
      <c r="E138" s="10" t="n"/>
      <c r="F138" s="10" t="n"/>
      <c r="G138" s="12" t="n"/>
      <c r="H138" s="13" t="n"/>
      <c r="I138" s="13" t="n"/>
      <c r="J138" s="13" t="n"/>
      <c r="K138" s="13" t="n"/>
      <c r="L138" s="13" t="n"/>
      <c r="M138" s="17">
        <f>IF(A138="","",IFERROR(VLOOKUP(A138,Raw_CurrentMonth!A:O,15,FALSE)=TRUE,FALSE))</f>
        <v/>
      </c>
      <c r="N138" s="16">
        <f>IF(A138="","",IF(M138=TRUE,IFERROR(H138,0)+IFERROR(I138,0)+IFERROR(J138,0)+IFERROR(K138,0)+IFERROR(L138,0),0))</f>
        <v/>
      </c>
      <c r="O138" s="16">
        <f>IF(A138="","",IF(M138=TRUE,IFERROR(H138,0),0))</f>
        <v/>
      </c>
      <c r="P138" s="16">
        <f>IF(A138="","",IF(M138=TRUE,IFERROR(I138,0),0))</f>
        <v/>
      </c>
      <c r="Q138" s="16">
        <f>IF(A138="","",IF(M138=TRUE,IFERROR(J138,0),0))</f>
        <v/>
      </c>
      <c r="R138" s="16">
        <f>IF(A138="","",IF(M138=TRUE,IFERROR(K138,0),0))</f>
        <v/>
      </c>
      <c r="S138" s="16">
        <f>IF(A138="","",IF(M138=TRUE,IFERROR(L138,0),0))</f>
        <v/>
      </c>
      <c r="T138" s="16">
        <f>IF(A138="","",IF(M138=TRUE,IFERROR(H138,0)+IFERROR(I138,0)+IFERROR(L138,0),0))</f>
        <v/>
      </c>
    </row>
    <row r="139">
      <c r="A139" s="10" t="n"/>
      <c r="B139" s="10" t="n"/>
      <c r="C139" s="11" t="n"/>
      <c r="D139" s="11" t="n"/>
      <c r="E139" s="10" t="n"/>
      <c r="F139" s="10" t="n"/>
      <c r="G139" s="12" t="n"/>
      <c r="H139" s="13" t="n"/>
      <c r="I139" s="13" t="n"/>
      <c r="J139" s="13" t="n"/>
      <c r="K139" s="13" t="n"/>
      <c r="L139" s="13" t="n"/>
      <c r="M139" s="17">
        <f>IF(A139="","",IFERROR(VLOOKUP(A139,Raw_CurrentMonth!A:O,15,FALSE)=TRUE,FALSE))</f>
        <v/>
      </c>
      <c r="N139" s="16">
        <f>IF(A139="","",IF(M139=TRUE,IFERROR(H139,0)+IFERROR(I139,0)+IFERROR(J139,0)+IFERROR(K139,0)+IFERROR(L139,0),0))</f>
        <v/>
      </c>
      <c r="O139" s="16">
        <f>IF(A139="","",IF(M139=TRUE,IFERROR(H139,0),0))</f>
        <v/>
      </c>
      <c r="P139" s="16">
        <f>IF(A139="","",IF(M139=TRUE,IFERROR(I139,0),0))</f>
        <v/>
      </c>
      <c r="Q139" s="16">
        <f>IF(A139="","",IF(M139=TRUE,IFERROR(J139,0),0))</f>
        <v/>
      </c>
      <c r="R139" s="16">
        <f>IF(A139="","",IF(M139=TRUE,IFERROR(K139,0),0))</f>
        <v/>
      </c>
      <c r="S139" s="16">
        <f>IF(A139="","",IF(M139=TRUE,IFERROR(L139,0),0))</f>
        <v/>
      </c>
      <c r="T139" s="16">
        <f>IF(A139="","",IF(M139=TRUE,IFERROR(H139,0)+IFERROR(I139,0)+IFERROR(L139,0),0))</f>
        <v/>
      </c>
    </row>
    <row r="140">
      <c r="A140" s="10" t="n"/>
      <c r="B140" s="10" t="n"/>
      <c r="C140" s="11" t="n"/>
      <c r="D140" s="11" t="n"/>
      <c r="E140" s="10" t="n"/>
      <c r="F140" s="10" t="n"/>
      <c r="G140" s="12" t="n"/>
      <c r="H140" s="13" t="n"/>
      <c r="I140" s="13" t="n"/>
      <c r="J140" s="13" t="n"/>
      <c r="K140" s="13" t="n"/>
      <c r="L140" s="13" t="n"/>
      <c r="M140" s="17">
        <f>IF(A140="","",IFERROR(VLOOKUP(A140,Raw_CurrentMonth!A:O,15,FALSE)=TRUE,FALSE))</f>
        <v/>
      </c>
      <c r="N140" s="16">
        <f>IF(A140="","",IF(M140=TRUE,IFERROR(H140,0)+IFERROR(I140,0)+IFERROR(J140,0)+IFERROR(K140,0)+IFERROR(L140,0),0))</f>
        <v/>
      </c>
      <c r="O140" s="16">
        <f>IF(A140="","",IF(M140=TRUE,IFERROR(H140,0),0))</f>
        <v/>
      </c>
      <c r="P140" s="16">
        <f>IF(A140="","",IF(M140=TRUE,IFERROR(I140,0),0))</f>
        <v/>
      </c>
      <c r="Q140" s="16">
        <f>IF(A140="","",IF(M140=TRUE,IFERROR(J140,0),0))</f>
        <v/>
      </c>
      <c r="R140" s="16">
        <f>IF(A140="","",IF(M140=TRUE,IFERROR(K140,0),0))</f>
        <v/>
      </c>
      <c r="S140" s="16">
        <f>IF(A140="","",IF(M140=TRUE,IFERROR(L140,0),0))</f>
        <v/>
      </c>
      <c r="T140" s="16">
        <f>IF(A140="","",IF(M140=TRUE,IFERROR(H140,0)+IFERROR(I140,0)+IFERROR(L140,0),0))</f>
        <v/>
      </c>
    </row>
    <row r="141">
      <c r="A141" s="10" t="n"/>
      <c r="B141" s="10" t="n"/>
      <c r="C141" s="11" t="n"/>
      <c r="D141" s="11" t="n"/>
      <c r="E141" s="10" t="n"/>
      <c r="F141" s="10" t="n"/>
      <c r="G141" s="12" t="n"/>
      <c r="H141" s="13" t="n"/>
      <c r="I141" s="13" t="n"/>
      <c r="J141" s="13" t="n"/>
      <c r="K141" s="13" t="n"/>
      <c r="L141" s="13" t="n"/>
      <c r="M141" s="17">
        <f>IF(A141="","",IFERROR(VLOOKUP(A141,Raw_CurrentMonth!A:O,15,FALSE)=TRUE,FALSE))</f>
        <v/>
      </c>
      <c r="N141" s="16">
        <f>IF(A141="","",IF(M141=TRUE,IFERROR(H141,0)+IFERROR(I141,0)+IFERROR(J141,0)+IFERROR(K141,0)+IFERROR(L141,0),0))</f>
        <v/>
      </c>
      <c r="O141" s="16">
        <f>IF(A141="","",IF(M141=TRUE,IFERROR(H141,0),0))</f>
        <v/>
      </c>
      <c r="P141" s="16">
        <f>IF(A141="","",IF(M141=TRUE,IFERROR(I141,0),0))</f>
        <v/>
      </c>
      <c r="Q141" s="16">
        <f>IF(A141="","",IF(M141=TRUE,IFERROR(J141,0),0))</f>
        <v/>
      </c>
      <c r="R141" s="16">
        <f>IF(A141="","",IF(M141=TRUE,IFERROR(K141,0),0))</f>
        <v/>
      </c>
      <c r="S141" s="16">
        <f>IF(A141="","",IF(M141=TRUE,IFERROR(L141,0),0))</f>
        <v/>
      </c>
      <c r="T141" s="16">
        <f>IF(A141="","",IF(M141=TRUE,IFERROR(H141,0)+IFERROR(I141,0)+IFERROR(L141,0),0))</f>
        <v/>
      </c>
    </row>
    <row r="142">
      <c r="A142" s="10" t="n"/>
      <c r="B142" s="10" t="n"/>
      <c r="C142" s="11" t="n"/>
      <c r="D142" s="11" t="n"/>
      <c r="E142" s="10" t="n"/>
      <c r="F142" s="10" t="n"/>
      <c r="G142" s="12" t="n"/>
      <c r="H142" s="13" t="n"/>
      <c r="I142" s="13" t="n"/>
      <c r="J142" s="13" t="n"/>
      <c r="K142" s="13" t="n"/>
      <c r="L142" s="13" t="n"/>
      <c r="M142" s="17">
        <f>IF(A142="","",IFERROR(VLOOKUP(A142,Raw_CurrentMonth!A:O,15,FALSE)=TRUE,FALSE))</f>
        <v/>
      </c>
      <c r="N142" s="16">
        <f>IF(A142="","",IF(M142=TRUE,IFERROR(H142,0)+IFERROR(I142,0)+IFERROR(J142,0)+IFERROR(K142,0)+IFERROR(L142,0),0))</f>
        <v/>
      </c>
      <c r="O142" s="16">
        <f>IF(A142="","",IF(M142=TRUE,IFERROR(H142,0),0))</f>
        <v/>
      </c>
      <c r="P142" s="16">
        <f>IF(A142="","",IF(M142=TRUE,IFERROR(I142,0),0))</f>
        <v/>
      </c>
      <c r="Q142" s="16">
        <f>IF(A142="","",IF(M142=TRUE,IFERROR(J142,0),0))</f>
        <v/>
      </c>
      <c r="R142" s="16">
        <f>IF(A142="","",IF(M142=TRUE,IFERROR(K142,0),0))</f>
        <v/>
      </c>
      <c r="S142" s="16">
        <f>IF(A142="","",IF(M142=TRUE,IFERROR(L142,0),0))</f>
        <v/>
      </c>
      <c r="T142" s="16">
        <f>IF(A142="","",IF(M142=TRUE,IFERROR(H142,0)+IFERROR(I142,0)+IFERROR(L142,0),0))</f>
        <v/>
      </c>
    </row>
    <row r="143">
      <c r="A143" s="10" t="n"/>
      <c r="B143" s="10" t="n"/>
      <c r="C143" s="11" t="n"/>
      <c r="D143" s="11" t="n"/>
      <c r="E143" s="10" t="n"/>
      <c r="F143" s="10" t="n"/>
      <c r="G143" s="12" t="n"/>
      <c r="H143" s="13" t="n"/>
      <c r="I143" s="13" t="n"/>
      <c r="J143" s="13" t="n"/>
      <c r="K143" s="13" t="n"/>
      <c r="L143" s="13" t="n"/>
      <c r="M143" s="17">
        <f>IF(A143="","",IFERROR(VLOOKUP(A143,Raw_CurrentMonth!A:O,15,FALSE)=TRUE,FALSE))</f>
        <v/>
      </c>
      <c r="N143" s="16">
        <f>IF(A143="","",IF(M143=TRUE,IFERROR(H143,0)+IFERROR(I143,0)+IFERROR(J143,0)+IFERROR(K143,0)+IFERROR(L143,0),0))</f>
        <v/>
      </c>
      <c r="O143" s="16">
        <f>IF(A143="","",IF(M143=TRUE,IFERROR(H143,0),0))</f>
        <v/>
      </c>
      <c r="P143" s="16">
        <f>IF(A143="","",IF(M143=TRUE,IFERROR(I143,0),0))</f>
        <v/>
      </c>
      <c r="Q143" s="16">
        <f>IF(A143="","",IF(M143=TRUE,IFERROR(J143,0),0))</f>
        <v/>
      </c>
      <c r="R143" s="16">
        <f>IF(A143="","",IF(M143=TRUE,IFERROR(K143,0),0))</f>
        <v/>
      </c>
      <c r="S143" s="16">
        <f>IF(A143="","",IF(M143=TRUE,IFERROR(L143,0),0))</f>
        <v/>
      </c>
      <c r="T143" s="16">
        <f>IF(A143="","",IF(M143=TRUE,IFERROR(H143,0)+IFERROR(I143,0)+IFERROR(L143,0),0))</f>
        <v/>
      </c>
    </row>
    <row r="144">
      <c r="A144" s="10" t="n"/>
      <c r="B144" s="10" t="n"/>
      <c r="C144" s="11" t="n"/>
      <c r="D144" s="11" t="n"/>
      <c r="E144" s="10" t="n"/>
      <c r="F144" s="10" t="n"/>
      <c r="G144" s="12" t="n"/>
      <c r="H144" s="13" t="n"/>
      <c r="I144" s="13" t="n"/>
      <c r="J144" s="13" t="n"/>
      <c r="K144" s="13" t="n"/>
      <c r="L144" s="13" t="n"/>
      <c r="M144" s="17">
        <f>IF(A144="","",IFERROR(VLOOKUP(A144,Raw_CurrentMonth!A:O,15,FALSE)=TRUE,FALSE))</f>
        <v/>
      </c>
      <c r="N144" s="16">
        <f>IF(A144="","",IF(M144=TRUE,IFERROR(H144,0)+IFERROR(I144,0)+IFERROR(J144,0)+IFERROR(K144,0)+IFERROR(L144,0),0))</f>
        <v/>
      </c>
      <c r="O144" s="16">
        <f>IF(A144="","",IF(M144=TRUE,IFERROR(H144,0),0))</f>
        <v/>
      </c>
      <c r="P144" s="16">
        <f>IF(A144="","",IF(M144=TRUE,IFERROR(I144,0),0))</f>
        <v/>
      </c>
      <c r="Q144" s="16">
        <f>IF(A144="","",IF(M144=TRUE,IFERROR(J144,0),0))</f>
        <v/>
      </c>
      <c r="R144" s="16">
        <f>IF(A144="","",IF(M144=TRUE,IFERROR(K144,0),0))</f>
        <v/>
      </c>
      <c r="S144" s="16">
        <f>IF(A144="","",IF(M144=TRUE,IFERROR(L144,0),0))</f>
        <v/>
      </c>
      <c r="T144" s="16">
        <f>IF(A144="","",IF(M144=TRUE,IFERROR(H144,0)+IFERROR(I144,0)+IFERROR(L144,0),0))</f>
        <v/>
      </c>
    </row>
    <row r="145">
      <c r="A145" s="10" t="n"/>
      <c r="B145" s="10" t="n"/>
      <c r="C145" s="11" t="n"/>
      <c r="D145" s="11" t="n"/>
      <c r="E145" s="10" t="n"/>
      <c r="F145" s="10" t="n"/>
      <c r="G145" s="12" t="n"/>
      <c r="H145" s="13" t="n"/>
      <c r="I145" s="13" t="n"/>
      <c r="J145" s="13" t="n"/>
      <c r="K145" s="13" t="n"/>
      <c r="L145" s="13" t="n"/>
      <c r="M145" s="17">
        <f>IF(A145="","",IFERROR(VLOOKUP(A145,Raw_CurrentMonth!A:O,15,FALSE)=TRUE,FALSE))</f>
        <v/>
      </c>
      <c r="N145" s="16">
        <f>IF(A145="","",IF(M145=TRUE,IFERROR(H145,0)+IFERROR(I145,0)+IFERROR(J145,0)+IFERROR(K145,0)+IFERROR(L145,0),0))</f>
        <v/>
      </c>
      <c r="O145" s="16">
        <f>IF(A145="","",IF(M145=TRUE,IFERROR(H145,0),0))</f>
        <v/>
      </c>
      <c r="P145" s="16">
        <f>IF(A145="","",IF(M145=TRUE,IFERROR(I145,0),0))</f>
        <v/>
      </c>
      <c r="Q145" s="16">
        <f>IF(A145="","",IF(M145=TRUE,IFERROR(J145,0),0))</f>
        <v/>
      </c>
      <c r="R145" s="16">
        <f>IF(A145="","",IF(M145=TRUE,IFERROR(K145,0),0))</f>
        <v/>
      </c>
      <c r="S145" s="16">
        <f>IF(A145="","",IF(M145=TRUE,IFERROR(L145,0),0))</f>
        <v/>
      </c>
      <c r="T145" s="16">
        <f>IF(A145="","",IF(M145=TRUE,IFERROR(H145,0)+IFERROR(I145,0)+IFERROR(L145,0),0))</f>
        <v/>
      </c>
    </row>
    <row r="146">
      <c r="A146" s="10" t="n"/>
      <c r="B146" s="10" t="n"/>
      <c r="C146" s="11" t="n"/>
      <c r="D146" s="11" t="n"/>
      <c r="E146" s="10" t="n"/>
      <c r="F146" s="10" t="n"/>
      <c r="G146" s="12" t="n"/>
      <c r="H146" s="13" t="n"/>
      <c r="I146" s="13" t="n"/>
      <c r="J146" s="13" t="n"/>
      <c r="K146" s="13" t="n"/>
      <c r="L146" s="13" t="n"/>
      <c r="M146" s="17">
        <f>IF(A146="","",IFERROR(VLOOKUP(A146,Raw_CurrentMonth!A:O,15,FALSE)=TRUE,FALSE))</f>
        <v/>
      </c>
      <c r="N146" s="16">
        <f>IF(A146="","",IF(M146=TRUE,IFERROR(H146,0)+IFERROR(I146,0)+IFERROR(J146,0)+IFERROR(K146,0)+IFERROR(L146,0),0))</f>
        <v/>
      </c>
      <c r="O146" s="16">
        <f>IF(A146="","",IF(M146=TRUE,IFERROR(H146,0),0))</f>
        <v/>
      </c>
      <c r="P146" s="16">
        <f>IF(A146="","",IF(M146=TRUE,IFERROR(I146,0),0))</f>
        <v/>
      </c>
      <c r="Q146" s="16">
        <f>IF(A146="","",IF(M146=TRUE,IFERROR(J146,0),0))</f>
        <v/>
      </c>
      <c r="R146" s="16">
        <f>IF(A146="","",IF(M146=TRUE,IFERROR(K146,0),0))</f>
        <v/>
      </c>
      <c r="S146" s="16">
        <f>IF(A146="","",IF(M146=TRUE,IFERROR(L146,0),0))</f>
        <v/>
      </c>
      <c r="T146" s="16">
        <f>IF(A146="","",IF(M146=TRUE,IFERROR(H146,0)+IFERROR(I146,0)+IFERROR(L146,0),0))</f>
        <v/>
      </c>
    </row>
    <row r="147">
      <c r="A147" s="10" t="n"/>
      <c r="B147" s="10" t="n"/>
      <c r="C147" s="11" t="n"/>
      <c r="D147" s="11" t="n"/>
      <c r="E147" s="10" t="n"/>
      <c r="F147" s="10" t="n"/>
      <c r="G147" s="12" t="n"/>
      <c r="H147" s="13" t="n"/>
      <c r="I147" s="13" t="n"/>
      <c r="J147" s="13" t="n"/>
      <c r="K147" s="13" t="n"/>
      <c r="L147" s="13" t="n"/>
      <c r="M147" s="17">
        <f>IF(A147="","",IFERROR(VLOOKUP(A147,Raw_CurrentMonth!A:O,15,FALSE)=TRUE,FALSE))</f>
        <v/>
      </c>
      <c r="N147" s="16">
        <f>IF(A147="","",IF(M147=TRUE,IFERROR(H147,0)+IFERROR(I147,0)+IFERROR(J147,0)+IFERROR(K147,0)+IFERROR(L147,0),0))</f>
        <v/>
      </c>
      <c r="O147" s="16">
        <f>IF(A147="","",IF(M147=TRUE,IFERROR(H147,0),0))</f>
        <v/>
      </c>
      <c r="P147" s="16">
        <f>IF(A147="","",IF(M147=TRUE,IFERROR(I147,0),0))</f>
        <v/>
      </c>
      <c r="Q147" s="16">
        <f>IF(A147="","",IF(M147=TRUE,IFERROR(J147,0),0))</f>
        <v/>
      </c>
      <c r="R147" s="16">
        <f>IF(A147="","",IF(M147=TRUE,IFERROR(K147,0),0))</f>
        <v/>
      </c>
      <c r="S147" s="16">
        <f>IF(A147="","",IF(M147=TRUE,IFERROR(L147,0),0))</f>
        <v/>
      </c>
      <c r="T147" s="16">
        <f>IF(A147="","",IF(M147=TRUE,IFERROR(H147,0)+IFERROR(I147,0)+IFERROR(L147,0),0))</f>
        <v/>
      </c>
    </row>
    <row r="148">
      <c r="A148" s="10" t="n"/>
      <c r="B148" s="10" t="n"/>
      <c r="C148" s="11" t="n"/>
      <c r="D148" s="11" t="n"/>
      <c r="E148" s="10" t="n"/>
      <c r="F148" s="10" t="n"/>
      <c r="G148" s="12" t="n"/>
      <c r="H148" s="13" t="n"/>
      <c r="I148" s="13" t="n"/>
      <c r="J148" s="13" t="n"/>
      <c r="K148" s="13" t="n"/>
      <c r="L148" s="13" t="n"/>
      <c r="M148" s="17">
        <f>IF(A148="","",IFERROR(VLOOKUP(A148,Raw_CurrentMonth!A:O,15,FALSE)=TRUE,FALSE))</f>
        <v/>
      </c>
      <c r="N148" s="16">
        <f>IF(A148="","",IF(M148=TRUE,IFERROR(H148,0)+IFERROR(I148,0)+IFERROR(J148,0)+IFERROR(K148,0)+IFERROR(L148,0),0))</f>
        <v/>
      </c>
      <c r="O148" s="16">
        <f>IF(A148="","",IF(M148=TRUE,IFERROR(H148,0),0))</f>
        <v/>
      </c>
      <c r="P148" s="16">
        <f>IF(A148="","",IF(M148=TRUE,IFERROR(I148,0),0))</f>
        <v/>
      </c>
      <c r="Q148" s="16">
        <f>IF(A148="","",IF(M148=TRUE,IFERROR(J148,0),0))</f>
        <v/>
      </c>
      <c r="R148" s="16">
        <f>IF(A148="","",IF(M148=TRUE,IFERROR(K148,0),0))</f>
        <v/>
      </c>
      <c r="S148" s="16">
        <f>IF(A148="","",IF(M148=TRUE,IFERROR(L148,0),0))</f>
        <v/>
      </c>
      <c r="T148" s="16">
        <f>IF(A148="","",IF(M148=TRUE,IFERROR(H148,0)+IFERROR(I148,0)+IFERROR(L148,0),0))</f>
        <v/>
      </c>
    </row>
    <row r="149">
      <c r="A149" s="10" t="n"/>
      <c r="B149" s="10" t="n"/>
      <c r="C149" s="11" t="n"/>
      <c r="D149" s="11" t="n"/>
      <c r="E149" s="10" t="n"/>
      <c r="F149" s="10" t="n"/>
      <c r="G149" s="12" t="n"/>
      <c r="H149" s="13" t="n"/>
      <c r="I149" s="13" t="n"/>
      <c r="J149" s="13" t="n"/>
      <c r="K149" s="13" t="n"/>
      <c r="L149" s="13" t="n"/>
      <c r="M149" s="17">
        <f>IF(A149="","",IFERROR(VLOOKUP(A149,Raw_CurrentMonth!A:O,15,FALSE)=TRUE,FALSE))</f>
        <v/>
      </c>
      <c r="N149" s="16">
        <f>IF(A149="","",IF(M149=TRUE,IFERROR(H149,0)+IFERROR(I149,0)+IFERROR(J149,0)+IFERROR(K149,0)+IFERROR(L149,0),0))</f>
        <v/>
      </c>
      <c r="O149" s="16">
        <f>IF(A149="","",IF(M149=TRUE,IFERROR(H149,0),0))</f>
        <v/>
      </c>
      <c r="P149" s="16">
        <f>IF(A149="","",IF(M149=TRUE,IFERROR(I149,0),0))</f>
        <v/>
      </c>
      <c r="Q149" s="16">
        <f>IF(A149="","",IF(M149=TRUE,IFERROR(J149,0),0))</f>
        <v/>
      </c>
      <c r="R149" s="16">
        <f>IF(A149="","",IF(M149=TRUE,IFERROR(K149,0),0))</f>
        <v/>
      </c>
      <c r="S149" s="16">
        <f>IF(A149="","",IF(M149=TRUE,IFERROR(L149,0),0))</f>
        <v/>
      </c>
      <c r="T149" s="16">
        <f>IF(A149="","",IF(M149=TRUE,IFERROR(H149,0)+IFERROR(I149,0)+IFERROR(L149,0),0))</f>
        <v/>
      </c>
    </row>
    <row r="150">
      <c r="A150" s="10" t="n"/>
      <c r="B150" s="10" t="n"/>
      <c r="C150" s="11" t="n"/>
      <c r="D150" s="11" t="n"/>
      <c r="E150" s="10" t="n"/>
      <c r="F150" s="10" t="n"/>
      <c r="G150" s="12" t="n"/>
      <c r="H150" s="13" t="n"/>
      <c r="I150" s="13" t="n"/>
      <c r="J150" s="13" t="n"/>
      <c r="K150" s="13" t="n"/>
      <c r="L150" s="13" t="n"/>
      <c r="M150" s="17">
        <f>IF(A150="","",IFERROR(VLOOKUP(A150,Raw_CurrentMonth!A:O,15,FALSE)=TRUE,FALSE))</f>
        <v/>
      </c>
      <c r="N150" s="16">
        <f>IF(A150="","",IF(M150=TRUE,IFERROR(H150,0)+IFERROR(I150,0)+IFERROR(J150,0)+IFERROR(K150,0)+IFERROR(L150,0),0))</f>
        <v/>
      </c>
      <c r="O150" s="16">
        <f>IF(A150="","",IF(M150=TRUE,IFERROR(H150,0),0))</f>
        <v/>
      </c>
      <c r="P150" s="16">
        <f>IF(A150="","",IF(M150=TRUE,IFERROR(I150,0),0))</f>
        <v/>
      </c>
      <c r="Q150" s="16">
        <f>IF(A150="","",IF(M150=TRUE,IFERROR(J150,0),0))</f>
        <v/>
      </c>
      <c r="R150" s="16">
        <f>IF(A150="","",IF(M150=TRUE,IFERROR(K150,0),0))</f>
        <v/>
      </c>
      <c r="S150" s="16">
        <f>IF(A150="","",IF(M150=TRUE,IFERROR(L150,0),0))</f>
        <v/>
      </c>
      <c r="T150" s="16">
        <f>IF(A150="","",IF(M150=TRUE,IFERROR(H150,0)+IFERROR(I150,0)+IFERROR(L150,0),0))</f>
        <v/>
      </c>
    </row>
    <row r="151">
      <c r="A151" s="10" t="n"/>
      <c r="B151" s="10" t="n"/>
      <c r="C151" s="11" t="n"/>
      <c r="D151" s="11" t="n"/>
      <c r="E151" s="10" t="n"/>
      <c r="F151" s="10" t="n"/>
      <c r="G151" s="12" t="n"/>
      <c r="H151" s="13" t="n"/>
      <c r="I151" s="13" t="n"/>
      <c r="J151" s="13" t="n"/>
      <c r="K151" s="13" t="n"/>
      <c r="L151" s="13" t="n"/>
      <c r="M151" s="17">
        <f>IF(A151="","",IFERROR(VLOOKUP(A151,Raw_CurrentMonth!A:O,15,FALSE)=TRUE,FALSE))</f>
        <v/>
      </c>
      <c r="N151" s="16">
        <f>IF(A151="","",IF(M151=TRUE,IFERROR(H151,0)+IFERROR(I151,0)+IFERROR(J151,0)+IFERROR(K151,0)+IFERROR(L151,0),0))</f>
        <v/>
      </c>
      <c r="O151" s="16">
        <f>IF(A151="","",IF(M151=TRUE,IFERROR(H151,0),0))</f>
        <v/>
      </c>
      <c r="P151" s="16">
        <f>IF(A151="","",IF(M151=TRUE,IFERROR(I151,0),0))</f>
        <v/>
      </c>
      <c r="Q151" s="16">
        <f>IF(A151="","",IF(M151=TRUE,IFERROR(J151,0),0))</f>
        <v/>
      </c>
      <c r="R151" s="16">
        <f>IF(A151="","",IF(M151=TRUE,IFERROR(K151,0),0))</f>
        <v/>
      </c>
      <c r="S151" s="16">
        <f>IF(A151="","",IF(M151=TRUE,IFERROR(L151,0),0))</f>
        <v/>
      </c>
      <c r="T151" s="16">
        <f>IF(A151="","",IF(M151=TRUE,IFERROR(H151,0)+IFERROR(I151,0)+IFERROR(L151,0),0))</f>
        <v/>
      </c>
    </row>
    <row r="152">
      <c r="A152" s="10" t="n"/>
      <c r="B152" s="10" t="n"/>
      <c r="C152" s="11" t="n"/>
      <c r="D152" s="11" t="n"/>
      <c r="E152" s="10" t="n"/>
      <c r="F152" s="10" t="n"/>
      <c r="G152" s="12" t="n"/>
      <c r="H152" s="13" t="n"/>
      <c r="I152" s="13" t="n"/>
      <c r="J152" s="13" t="n"/>
      <c r="K152" s="13" t="n"/>
      <c r="L152" s="13" t="n"/>
      <c r="M152" s="17">
        <f>IF(A152="","",IFERROR(VLOOKUP(A152,Raw_CurrentMonth!A:O,15,FALSE)=TRUE,FALSE))</f>
        <v/>
      </c>
      <c r="N152" s="16">
        <f>IF(A152="","",IF(M152=TRUE,IFERROR(H152,0)+IFERROR(I152,0)+IFERROR(J152,0)+IFERROR(K152,0)+IFERROR(L152,0),0))</f>
        <v/>
      </c>
      <c r="O152" s="16">
        <f>IF(A152="","",IF(M152=TRUE,IFERROR(H152,0),0))</f>
        <v/>
      </c>
      <c r="P152" s="16">
        <f>IF(A152="","",IF(M152=TRUE,IFERROR(I152,0),0))</f>
        <v/>
      </c>
      <c r="Q152" s="16">
        <f>IF(A152="","",IF(M152=TRUE,IFERROR(J152,0),0))</f>
        <v/>
      </c>
      <c r="R152" s="16">
        <f>IF(A152="","",IF(M152=TRUE,IFERROR(K152,0),0))</f>
        <v/>
      </c>
      <c r="S152" s="16">
        <f>IF(A152="","",IF(M152=TRUE,IFERROR(L152,0),0))</f>
        <v/>
      </c>
      <c r="T152" s="16">
        <f>IF(A152="","",IF(M152=TRUE,IFERROR(H152,0)+IFERROR(I152,0)+IFERROR(L152,0),0))</f>
        <v/>
      </c>
    </row>
    <row r="153">
      <c r="A153" s="10" t="n"/>
      <c r="B153" s="10" t="n"/>
      <c r="C153" s="11" t="n"/>
      <c r="D153" s="11" t="n"/>
      <c r="E153" s="10" t="n"/>
      <c r="F153" s="10" t="n"/>
      <c r="G153" s="12" t="n"/>
      <c r="H153" s="13" t="n"/>
      <c r="I153" s="13" t="n"/>
      <c r="J153" s="13" t="n"/>
      <c r="K153" s="13" t="n"/>
      <c r="L153" s="13" t="n"/>
      <c r="M153" s="17">
        <f>IF(A153="","",IFERROR(VLOOKUP(A153,Raw_CurrentMonth!A:O,15,FALSE)=TRUE,FALSE))</f>
        <v/>
      </c>
      <c r="N153" s="16">
        <f>IF(A153="","",IF(M153=TRUE,IFERROR(H153,0)+IFERROR(I153,0)+IFERROR(J153,0)+IFERROR(K153,0)+IFERROR(L153,0),0))</f>
        <v/>
      </c>
      <c r="O153" s="16">
        <f>IF(A153="","",IF(M153=TRUE,IFERROR(H153,0),0))</f>
        <v/>
      </c>
      <c r="P153" s="16">
        <f>IF(A153="","",IF(M153=TRUE,IFERROR(I153,0),0))</f>
        <v/>
      </c>
      <c r="Q153" s="16">
        <f>IF(A153="","",IF(M153=TRUE,IFERROR(J153,0),0))</f>
        <v/>
      </c>
      <c r="R153" s="16">
        <f>IF(A153="","",IF(M153=TRUE,IFERROR(K153,0),0))</f>
        <v/>
      </c>
      <c r="S153" s="16">
        <f>IF(A153="","",IF(M153=TRUE,IFERROR(L153,0),0))</f>
        <v/>
      </c>
      <c r="T153" s="16">
        <f>IF(A153="","",IF(M153=TRUE,IFERROR(H153,0)+IFERROR(I153,0)+IFERROR(L153,0),0))</f>
        <v/>
      </c>
    </row>
    <row r="154">
      <c r="A154" s="10" t="n"/>
      <c r="B154" s="10" t="n"/>
      <c r="C154" s="11" t="n"/>
      <c r="D154" s="11" t="n"/>
      <c r="E154" s="10" t="n"/>
      <c r="F154" s="10" t="n"/>
      <c r="G154" s="12" t="n"/>
      <c r="H154" s="13" t="n"/>
      <c r="I154" s="13" t="n"/>
      <c r="J154" s="13" t="n"/>
      <c r="K154" s="13" t="n"/>
      <c r="L154" s="13" t="n"/>
      <c r="M154" s="17">
        <f>IF(A154="","",IFERROR(VLOOKUP(A154,Raw_CurrentMonth!A:O,15,FALSE)=TRUE,FALSE))</f>
        <v/>
      </c>
      <c r="N154" s="16">
        <f>IF(A154="","",IF(M154=TRUE,IFERROR(H154,0)+IFERROR(I154,0)+IFERROR(J154,0)+IFERROR(K154,0)+IFERROR(L154,0),0))</f>
        <v/>
      </c>
      <c r="O154" s="16">
        <f>IF(A154="","",IF(M154=TRUE,IFERROR(H154,0),0))</f>
        <v/>
      </c>
      <c r="P154" s="16">
        <f>IF(A154="","",IF(M154=TRUE,IFERROR(I154,0),0))</f>
        <v/>
      </c>
      <c r="Q154" s="16">
        <f>IF(A154="","",IF(M154=TRUE,IFERROR(J154,0),0))</f>
        <v/>
      </c>
      <c r="R154" s="16">
        <f>IF(A154="","",IF(M154=TRUE,IFERROR(K154,0),0))</f>
        <v/>
      </c>
      <c r="S154" s="16">
        <f>IF(A154="","",IF(M154=TRUE,IFERROR(L154,0),0))</f>
        <v/>
      </c>
      <c r="T154" s="16">
        <f>IF(A154="","",IF(M154=TRUE,IFERROR(H154,0)+IFERROR(I154,0)+IFERROR(L154,0),0))</f>
        <v/>
      </c>
    </row>
    <row r="155">
      <c r="A155" s="10" t="n"/>
      <c r="B155" s="10" t="n"/>
      <c r="C155" s="11" t="n"/>
      <c r="D155" s="11" t="n"/>
      <c r="E155" s="10" t="n"/>
      <c r="F155" s="10" t="n"/>
      <c r="G155" s="12" t="n"/>
      <c r="H155" s="13" t="n"/>
      <c r="I155" s="13" t="n"/>
      <c r="J155" s="13" t="n"/>
      <c r="K155" s="13" t="n"/>
      <c r="L155" s="13" t="n"/>
      <c r="M155" s="17">
        <f>IF(A155="","",IFERROR(VLOOKUP(A155,Raw_CurrentMonth!A:O,15,FALSE)=TRUE,FALSE))</f>
        <v/>
      </c>
      <c r="N155" s="16">
        <f>IF(A155="","",IF(M155=TRUE,IFERROR(H155,0)+IFERROR(I155,0)+IFERROR(J155,0)+IFERROR(K155,0)+IFERROR(L155,0),0))</f>
        <v/>
      </c>
      <c r="O155" s="16">
        <f>IF(A155="","",IF(M155=TRUE,IFERROR(H155,0),0))</f>
        <v/>
      </c>
      <c r="P155" s="16">
        <f>IF(A155="","",IF(M155=TRUE,IFERROR(I155,0),0))</f>
        <v/>
      </c>
      <c r="Q155" s="16">
        <f>IF(A155="","",IF(M155=TRUE,IFERROR(J155,0),0))</f>
        <v/>
      </c>
      <c r="R155" s="16">
        <f>IF(A155="","",IF(M155=TRUE,IFERROR(K155,0),0))</f>
        <v/>
      </c>
      <c r="S155" s="16">
        <f>IF(A155="","",IF(M155=TRUE,IFERROR(L155,0),0))</f>
        <v/>
      </c>
      <c r="T155" s="16">
        <f>IF(A155="","",IF(M155=TRUE,IFERROR(H155,0)+IFERROR(I155,0)+IFERROR(L155,0),0))</f>
        <v/>
      </c>
    </row>
    <row r="156">
      <c r="A156" s="10" t="n"/>
      <c r="B156" s="10" t="n"/>
      <c r="C156" s="11" t="n"/>
      <c r="D156" s="11" t="n"/>
      <c r="E156" s="10" t="n"/>
      <c r="F156" s="10" t="n"/>
      <c r="G156" s="12" t="n"/>
      <c r="H156" s="13" t="n"/>
      <c r="I156" s="13" t="n"/>
      <c r="J156" s="13" t="n"/>
      <c r="K156" s="13" t="n"/>
      <c r="L156" s="13" t="n"/>
      <c r="M156" s="17">
        <f>IF(A156="","",IFERROR(VLOOKUP(A156,Raw_CurrentMonth!A:O,15,FALSE)=TRUE,FALSE))</f>
        <v/>
      </c>
      <c r="N156" s="16">
        <f>IF(A156="","",IF(M156=TRUE,IFERROR(H156,0)+IFERROR(I156,0)+IFERROR(J156,0)+IFERROR(K156,0)+IFERROR(L156,0),0))</f>
        <v/>
      </c>
      <c r="O156" s="16">
        <f>IF(A156="","",IF(M156=TRUE,IFERROR(H156,0),0))</f>
        <v/>
      </c>
      <c r="P156" s="16">
        <f>IF(A156="","",IF(M156=TRUE,IFERROR(I156,0),0))</f>
        <v/>
      </c>
      <c r="Q156" s="16">
        <f>IF(A156="","",IF(M156=TRUE,IFERROR(J156,0),0))</f>
        <v/>
      </c>
      <c r="R156" s="16">
        <f>IF(A156="","",IF(M156=TRUE,IFERROR(K156,0),0))</f>
        <v/>
      </c>
      <c r="S156" s="16">
        <f>IF(A156="","",IF(M156=TRUE,IFERROR(L156,0),0))</f>
        <v/>
      </c>
      <c r="T156" s="16">
        <f>IF(A156="","",IF(M156=TRUE,IFERROR(H156,0)+IFERROR(I156,0)+IFERROR(L156,0),0))</f>
        <v/>
      </c>
    </row>
    <row r="157">
      <c r="A157" s="10" t="n"/>
      <c r="B157" s="10" t="n"/>
      <c r="C157" s="11" t="n"/>
      <c r="D157" s="11" t="n"/>
      <c r="E157" s="10" t="n"/>
      <c r="F157" s="10" t="n"/>
      <c r="G157" s="12" t="n"/>
      <c r="H157" s="13" t="n"/>
      <c r="I157" s="13" t="n"/>
      <c r="J157" s="13" t="n"/>
      <c r="K157" s="13" t="n"/>
      <c r="L157" s="13" t="n"/>
      <c r="M157" s="17">
        <f>IF(A157="","",IFERROR(VLOOKUP(A157,Raw_CurrentMonth!A:O,15,FALSE)=TRUE,FALSE))</f>
        <v/>
      </c>
      <c r="N157" s="16">
        <f>IF(A157="","",IF(M157=TRUE,IFERROR(H157,0)+IFERROR(I157,0)+IFERROR(J157,0)+IFERROR(K157,0)+IFERROR(L157,0),0))</f>
        <v/>
      </c>
      <c r="O157" s="16">
        <f>IF(A157="","",IF(M157=TRUE,IFERROR(H157,0),0))</f>
        <v/>
      </c>
      <c r="P157" s="16">
        <f>IF(A157="","",IF(M157=TRUE,IFERROR(I157,0),0))</f>
        <v/>
      </c>
      <c r="Q157" s="16">
        <f>IF(A157="","",IF(M157=TRUE,IFERROR(J157,0),0))</f>
        <v/>
      </c>
      <c r="R157" s="16">
        <f>IF(A157="","",IF(M157=TRUE,IFERROR(K157,0),0))</f>
        <v/>
      </c>
      <c r="S157" s="16">
        <f>IF(A157="","",IF(M157=TRUE,IFERROR(L157,0),0))</f>
        <v/>
      </c>
      <c r="T157" s="16">
        <f>IF(A157="","",IF(M157=TRUE,IFERROR(H157,0)+IFERROR(I157,0)+IFERROR(L157,0),0))</f>
        <v/>
      </c>
    </row>
    <row r="158">
      <c r="A158" s="10" t="n"/>
      <c r="B158" s="10" t="n"/>
      <c r="C158" s="11" t="n"/>
      <c r="D158" s="11" t="n"/>
      <c r="E158" s="10" t="n"/>
      <c r="F158" s="10" t="n"/>
      <c r="G158" s="12" t="n"/>
      <c r="H158" s="13" t="n"/>
      <c r="I158" s="13" t="n"/>
      <c r="J158" s="13" t="n"/>
      <c r="K158" s="13" t="n"/>
      <c r="L158" s="13" t="n"/>
      <c r="M158" s="17">
        <f>IF(A158="","",IFERROR(VLOOKUP(A158,Raw_CurrentMonth!A:O,15,FALSE)=TRUE,FALSE))</f>
        <v/>
      </c>
      <c r="N158" s="16">
        <f>IF(A158="","",IF(M158=TRUE,IFERROR(H158,0)+IFERROR(I158,0)+IFERROR(J158,0)+IFERROR(K158,0)+IFERROR(L158,0),0))</f>
        <v/>
      </c>
      <c r="O158" s="16">
        <f>IF(A158="","",IF(M158=TRUE,IFERROR(H158,0),0))</f>
        <v/>
      </c>
      <c r="P158" s="16">
        <f>IF(A158="","",IF(M158=TRUE,IFERROR(I158,0),0))</f>
        <v/>
      </c>
      <c r="Q158" s="16">
        <f>IF(A158="","",IF(M158=TRUE,IFERROR(J158,0),0))</f>
        <v/>
      </c>
      <c r="R158" s="16">
        <f>IF(A158="","",IF(M158=TRUE,IFERROR(K158,0),0))</f>
        <v/>
      </c>
      <c r="S158" s="16">
        <f>IF(A158="","",IF(M158=TRUE,IFERROR(L158,0),0))</f>
        <v/>
      </c>
      <c r="T158" s="16">
        <f>IF(A158="","",IF(M158=TRUE,IFERROR(H158,0)+IFERROR(I158,0)+IFERROR(L158,0),0))</f>
        <v/>
      </c>
    </row>
    <row r="159">
      <c r="A159" s="10" t="n"/>
      <c r="B159" s="10" t="n"/>
      <c r="C159" s="11" t="n"/>
      <c r="D159" s="11" t="n"/>
      <c r="E159" s="10" t="n"/>
      <c r="F159" s="10" t="n"/>
      <c r="G159" s="12" t="n"/>
      <c r="H159" s="13" t="n"/>
      <c r="I159" s="13" t="n"/>
      <c r="J159" s="13" t="n"/>
      <c r="K159" s="13" t="n"/>
      <c r="L159" s="13" t="n"/>
      <c r="M159" s="17">
        <f>IF(A159="","",IFERROR(VLOOKUP(A159,Raw_CurrentMonth!A:O,15,FALSE)=TRUE,FALSE))</f>
        <v/>
      </c>
      <c r="N159" s="16">
        <f>IF(A159="","",IF(M159=TRUE,IFERROR(H159,0)+IFERROR(I159,0)+IFERROR(J159,0)+IFERROR(K159,0)+IFERROR(L159,0),0))</f>
        <v/>
      </c>
      <c r="O159" s="16">
        <f>IF(A159="","",IF(M159=TRUE,IFERROR(H159,0),0))</f>
        <v/>
      </c>
      <c r="P159" s="16">
        <f>IF(A159="","",IF(M159=TRUE,IFERROR(I159,0),0))</f>
        <v/>
      </c>
      <c r="Q159" s="16">
        <f>IF(A159="","",IF(M159=TRUE,IFERROR(J159,0),0))</f>
        <v/>
      </c>
      <c r="R159" s="16">
        <f>IF(A159="","",IF(M159=TRUE,IFERROR(K159,0),0))</f>
        <v/>
      </c>
      <c r="S159" s="16">
        <f>IF(A159="","",IF(M159=TRUE,IFERROR(L159,0),0))</f>
        <v/>
      </c>
      <c r="T159" s="16">
        <f>IF(A159="","",IF(M159=TRUE,IFERROR(H159,0)+IFERROR(I159,0)+IFERROR(L159,0),0))</f>
        <v/>
      </c>
    </row>
    <row r="160">
      <c r="A160" s="10" t="n"/>
      <c r="B160" s="10" t="n"/>
      <c r="C160" s="11" t="n"/>
      <c r="D160" s="11" t="n"/>
      <c r="E160" s="10" t="n"/>
      <c r="F160" s="10" t="n"/>
      <c r="G160" s="12" t="n"/>
      <c r="H160" s="13" t="n"/>
      <c r="I160" s="13" t="n"/>
      <c r="J160" s="13" t="n"/>
      <c r="K160" s="13" t="n"/>
      <c r="L160" s="13" t="n"/>
      <c r="M160" s="17">
        <f>IF(A160="","",IFERROR(VLOOKUP(A160,Raw_CurrentMonth!A:O,15,FALSE)=TRUE,FALSE))</f>
        <v/>
      </c>
      <c r="N160" s="16">
        <f>IF(A160="","",IF(M160=TRUE,IFERROR(H160,0)+IFERROR(I160,0)+IFERROR(J160,0)+IFERROR(K160,0)+IFERROR(L160,0),0))</f>
        <v/>
      </c>
      <c r="O160" s="16">
        <f>IF(A160="","",IF(M160=TRUE,IFERROR(H160,0),0))</f>
        <v/>
      </c>
      <c r="P160" s="16">
        <f>IF(A160="","",IF(M160=TRUE,IFERROR(I160,0),0))</f>
        <v/>
      </c>
      <c r="Q160" s="16">
        <f>IF(A160="","",IF(M160=TRUE,IFERROR(J160,0),0))</f>
        <v/>
      </c>
      <c r="R160" s="16">
        <f>IF(A160="","",IF(M160=TRUE,IFERROR(K160,0),0))</f>
        <v/>
      </c>
      <c r="S160" s="16">
        <f>IF(A160="","",IF(M160=TRUE,IFERROR(L160,0),0))</f>
        <v/>
      </c>
      <c r="T160" s="16">
        <f>IF(A160="","",IF(M160=TRUE,IFERROR(H160,0)+IFERROR(I160,0)+IFERROR(L160,0),0))</f>
        <v/>
      </c>
    </row>
    <row r="161">
      <c r="A161" s="10" t="n"/>
      <c r="B161" s="10" t="n"/>
      <c r="C161" s="11" t="n"/>
      <c r="D161" s="11" t="n"/>
      <c r="E161" s="10" t="n"/>
      <c r="F161" s="10" t="n"/>
      <c r="G161" s="12" t="n"/>
      <c r="H161" s="13" t="n"/>
      <c r="I161" s="13" t="n"/>
      <c r="J161" s="13" t="n"/>
      <c r="K161" s="13" t="n"/>
      <c r="L161" s="13" t="n"/>
      <c r="M161" s="17">
        <f>IF(A161="","",IFERROR(VLOOKUP(A161,Raw_CurrentMonth!A:O,15,FALSE)=TRUE,FALSE))</f>
        <v/>
      </c>
      <c r="N161" s="16">
        <f>IF(A161="","",IF(M161=TRUE,IFERROR(H161,0)+IFERROR(I161,0)+IFERROR(J161,0)+IFERROR(K161,0)+IFERROR(L161,0),0))</f>
        <v/>
      </c>
      <c r="O161" s="16">
        <f>IF(A161="","",IF(M161=TRUE,IFERROR(H161,0),0))</f>
        <v/>
      </c>
      <c r="P161" s="16">
        <f>IF(A161="","",IF(M161=TRUE,IFERROR(I161,0),0))</f>
        <v/>
      </c>
      <c r="Q161" s="16">
        <f>IF(A161="","",IF(M161=TRUE,IFERROR(J161,0),0))</f>
        <v/>
      </c>
      <c r="R161" s="16">
        <f>IF(A161="","",IF(M161=TRUE,IFERROR(K161,0),0))</f>
        <v/>
      </c>
      <c r="S161" s="16">
        <f>IF(A161="","",IF(M161=TRUE,IFERROR(L161,0),0))</f>
        <v/>
      </c>
      <c r="T161" s="16">
        <f>IF(A161="","",IF(M161=TRUE,IFERROR(H161,0)+IFERROR(I161,0)+IFERROR(L161,0),0))</f>
        <v/>
      </c>
    </row>
    <row r="162">
      <c r="A162" s="10" t="n"/>
      <c r="B162" s="10" t="n"/>
      <c r="C162" s="11" t="n"/>
      <c r="D162" s="11" t="n"/>
      <c r="E162" s="10" t="n"/>
      <c r="F162" s="10" t="n"/>
      <c r="G162" s="12" t="n"/>
      <c r="H162" s="13" t="n"/>
      <c r="I162" s="13" t="n"/>
      <c r="J162" s="13" t="n"/>
      <c r="K162" s="13" t="n"/>
      <c r="L162" s="13" t="n"/>
      <c r="M162" s="17">
        <f>IF(A162="","",IFERROR(VLOOKUP(A162,Raw_CurrentMonth!A:O,15,FALSE)=TRUE,FALSE))</f>
        <v/>
      </c>
      <c r="N162" s="16">
        <f>IF(A162="","",IF(M162=TRUE,IFERROR(H162,0)+IFERROR(I162,0)+IFERROR(J162,0)+IFERROR(K162,0)+IFERROR(L162,0),0))</f>
        <v/>
      </c>
      <c r="O162" s="16">
        <f>IF(A162="","",IF(M162=TRUE,IFERROR(H162,0),0))</f>
        <v/>
      </c>
      <c r="P162" s="16">
        <f>IF(A162="","",IF(M162=TRUE,IFERROR(I162,0),0))</f>
        <v/>
      </c>
      <c r="Q162" s="16">
        <f>IF(A162="","",IF(M162=TRUE,IFERROR(J162,0),0))</f>
        <v/>
      </c>
      <c r="R162" s="16">
        <f>IF(A162="","",IF(M162=TRUE,IFERROR(K162,0),0))</f>
        <v/>
      </c>
      <c r="S162" s="16">
        <f>IF(A162="","",IF(M162=TRUE,IFERROR(L162,0),0))</f>
        <v/>
      </c>
      <c r="T162" s="16">
        <f>IF(A162="","",IF(M162=TRUE,IFERROR(H162,0)+IFERROR(I162,0)+IFERROR(L162,0),0))</f>
        <v/>
      </c>
    </row>
    <row r="163">
      <c r="A163" s="10" t="n"/>
      <c r="B163" s="10" t="n"/>
      <c r="C163" s="11" t="n"/>
      <c r="D163" s="11" t="n"/>
      <c r="E163" s="10" t="n"/>
      <c r="F163" s="10" t="n"/>
      <c r="G163" s="12" t="n"/>
      <c r="H163" s="13" t="n"/>
      <c r="I163" s="13" t="n"/>
      <c r="J163" s="13" t="n"/>
      <c r="K163" s="13" t="n"/>
      <c r="L163" s="13" t="n"/>
      <c r="M163" s="17">
        <f>IF(A163="","",IFERROR(VLOOKUP(A163,Raw_CurrentMonth!A:O,15,FALSE)=TRUE,FALSE))</f>
        <v/>
      </c>
      <c r="N163" s="16">
        <f>IF(A163="","",IF(M163=TRUE,IFERROR(H163,0)+IFERROR(I163,0)+IFERROR(J163,0)+IFERROR(K163,0)+IFERROR(L163,0),0))</f>
        <v/>
      </c>
      <c r="O163" s="16">
        <f>IF(A163="","",IF(M163=TRUE,IFERROR(H163,0),0))</f>
        <v/>
      </c>
      <c r="P163" s="16">
        <f>IF(A163="","",IF(M163=TRUE,IFERROR(I163,0),0))</f>
        <v/>
      </c>
      <c r="Q163" s="16">
        <f>IF(A163="","",IF(M163=TRUE,IFERROR(J163,0),0))</f>
        <v/>
      </c>
      <c r="R163" s="16">
        <f>IF(A163="","",IF(M163=TRUE,IFERROR(K163,0),0))</f>
        <v/>
      </c>
      <c r="S163" s="16">
        <f>IF(A163="","",IF(M163=TRUE,IFERROR(L163,0),0))</f>
        <v/>
      </c>
      <c r="T163" s="16">
        <f>IF(A163="","",IF(M163=TRUE,IFERROR(H163,0)+IFERROR(I163,0)+IFERROR(L163,0),0))</f>
        <v/>
      </c>
    </row>
    <row r="164">
      <c r="A164" s="10" t="n"/>
      <c r="B164" s="10" t="n"/>
      <c r="C164" s="11" t="n"/>
      <c r="D164" s="11" t="n"/>
      <c r="E164" s="10" t="n"/>
      <c r="F164" s="10" t="n"/>
      <c r="G164" s="12" t="n"/>
      <c r="H164" s="13" t="n"/>
      <c r="I164" s="13" t="n"/>
      <c r="J164" s="13" t="n"/>
      <c r="K164" s="13" t="n"/>
      <c r="L164" s="13" t="n"/>
      <c r="M164" s="17">
        <f>IF(A164="","",IFERROR(VLOOKUP(A164,Raw_CurrentMonth!A:O,15,FALSE)=TRUE,FALSE))</f>
        <v/>
      </c>
      <c r="N164" s="16">
        <f>IF(A164="","",IF(M164=TRUE,IFERROR(H164,0)+IFERROR(I164,0)+IFERROR(J164,0)+IFERROR(K164,0)+IFERROR(L164,0),0))</f>
        <v/>
      </c>
      <c r="O164" s="16">
        <f>IF(A164="","",IF(M164=TRUE,IFERROR(H164,0),0))</f>
        <v/>
      </c>
      <c r="P164" s="16">
        <f>IF(A164="","",IF(M164=TRUE,IFERROR(I164,0),0))</f>
        <v/>
      </c>
      <c r="Q164" s="16">
        <f>IF(A164="","",IF(M164=TRUE,IFERROR(J164,0),0))</f>
        <v/>
      </c>
      <c r="R164" s="16">
        <f>IF(A164="","",IF(M164=TRUE,IFERROR(K164,0),0))</f>
        <v/>
      </c>
      <c r="S164" s="16">
        <f>IF(A164="","",IF(M164=TRUE,IFERROR(L164,0),0))</f>
        <v/>
      </c>
      <c r="T164" s="16">
        <f>IF(A164="","",IF(M164=TRUE,IFERROR(H164,0)+IFERROR(I164,0)+IFERROR(L164,0),0))</f>
        <v/>
      </c>
    </row>
    <row r="165">
      <c r="A165" s="10" t="n"/>
      <c r="B165" s="10" t="n"/>
      <c r="C165" s="11" t="n"/>
      <c r="D165" s="11" t="n"/>
      <c r="E165" s="10" t="n"/>
      <c r="F165" s="10" t="n"/>
      <c r="G165" s="12" t="n"/>
      <c r="H165" s="13" t="n"/>
      <c r="I165" s="13" t="n"/>
      <c r="J165" s="13" t="n"/>
      <c r="K165" s="13" t="n"/>
      <c r="L165" s="13" t="n"/>
      <c r="M165" s="17">
        <f>IF(A165="","",IFERROR(VLOOKUP(A165,Raw_CurrentMonth!A:O,15,FALSE)=TRUE,FALSE))</f>
        <v/>
      </c>
      <c r="N165" s="16">
        <f>IF(A165="","",IF(M165=TRUE,IFERROR(H165,0)+IFERROR(I165,0)+IFERROR(J165,0)+IFERROR(K165,0)+IFERROR(L165,0),0))</f>
        <v/>
      </c>
      <c r="O165" s="16">
        <f>IF(A165="","",IF(M165=TRUE,IFERROR(H165,0),0))</f>
        <v/>
      </c>
      <c r="P165" s="16">
        <f>IF(A165="","",IF(M165=TRUE,IFERROR(I165,0),0))</f>
        <v/>
      </c>
      <c r="Q165" s="16">
        <f>IF(A165="","",IF(M165=TRUE,IFERROR(J165,0),0))</f>
        <v/>
      </c>
      <c r="R165" s="16">
        <f>IF(A165="","",IF(M165=TRUE,IFERROR(K165,0),0))</f>
        <v/>
      </c>
      <c r="S165" s="16">
        <f>IF(A165="","",IF(M165=TRUE,IFERROR(L165,0),0))</f>
        <v/>
      </c>
      <c r="T165" s="16">
        <f>IF(A165="","",IF(M165=TRUE,IFERROR(H165,0)+IFERROR(I165,0)+IFERROR(L165,0),0))</f>
        <v/>
      </c>
    </row>
    <row r="166">
      <c r="A166" s="10" t="n"/>
      <c r="B166" s="10" t="n"/>
      <c r="C166" s="11" t="n"/>
      <c r="D166" s="11" t="n"/>
      <c r="E166" s="10" t="n"/>
      <c r="F166" s="10" t="n"/>
      <c r="G166" s="12" t="n"/>
      <c r="H166" s="13" t="n"/>
      <c r="I166" s="13" t="n"/>
      <c r="J166" s="13" t="n"/>
      <c r="K166" s="13" t="n"/>
      <c r="L166" s="13" t="n"/>
      <c r="M166" s="17">
        <f>IF(A166="","",IFERROR(VLOOKUP(A166,Raw_CurrentMonth!A:O,15,FALSE)=TRUE,FALSE))</f>
        <v/>
      </c>
      <c r="N166" s="16">
        <f>IF(A166="","",IF(M166=TRUE,IFERROR(H166,0)+IFERROR(I166,0)+IFERROR(J166,0)+IFERROR(K166,0)+IFERROR(L166,0),0))</f>
        <v/>
      </c>
      <c r="O166" s="16">
        <f>IF(A166="","",IF(M166=TRUE,IFERROR(H166,0),0))</f>
        <v/>
      </c>
      <c r="P166" s="16">
        <f>IF(A166="","",IF(M166=TRUE,IFERROR(I166,0),0))</f>
        <v/>
      </c>
      <c r="Q166" s="16">
        <f>IF(A166="","",IF(M166=TRUE,IFERROR(J166,0),0))</f>
        <v/>
      </c>
      <c r="R166" s="16">
        <f>IF(A166="","",IF(M166=TRUE,IFERROR(K166,0),0))</f>
        <v/>
      </c>
      <c r="S166" s="16">
        <f>IF(A166="","",IF(M166=TRUE,IFERROR(L166,0),0))</f>
        <v/>
      </c>
      <c r="T166" s="16">
        <f>IF(A166="","",IF(M166=TRUE,IFERROR(H166,0)+IFERROR(I166,0)+IFERROR(L166,0),0))</f>
        <v/>
      </c>
    </row>
    <row r="167">
      <c r="A167" s="10" t="n"/>
      <c r="B167" s="10" t="n"/>
      <c r="C167" s="11" t="n"/>
      <c r="D167" s="11" t="n"/>
      <c r="E167" s="10" t="n"/>
      <c r="F167" s="10" t="n"/>
      <c r="G167" s="12" t="n"/>
      <c r="H167" s="13" t="n"/>
      <c r="I167" s="13" t="n"/>
      <c r="J167" s="13" t="n"/>
      <c r="K167" s="13" t="n"/>
      <c r="L167" s="13" t="n"/>
      <c r="M167" s="17">
        <f>IF(A167="","",IFERROR(VLOOKUP(A167,Raw_CurrentMonth!A:O,15,FALSE)=TRUE,FALSE))</f>
        <v/>
      </c>
      <c r="N167" s="16">
        <f>IF(A167="","",IF(M167=TRUE,IFERROR(H167,0)+IFERROR(I167,0)+IFERROR(J167,0)+IFERROR(K167,0)+IFERROR(L167,0),0))</f>
        <v/>
      </c>
      <c r="O167" s="16">
        <f>IF(A167="","",IF(M167=TRUE,IFERROR(H167,0),0))</f>
        <v/>
      </c>
      <c r="P167" s="16">
        <f>IF(A167="","",IF(M167=TRUE,IFERROR(I167,0),0))</f>
        <v/>
      </c>
      <c r="Q167" s="16">
        <f>IF(A167="","",IF(M167=TRUE,IFERROR(J167,0),0))</f>
        <v/>
      </c>
      <c r="R167" s="16">
        <f>IF(A167="","",IF(M167=TRUE,IFERROR(K167,0),0))</f>
        <v/>
      </c>
      <c r="S167" s="16">
        <f>IF(A167="","",IF(M167=TRUE,IFERROR(L167,0),0))</f>
        <v/>
      </c>
      <c r="T167" s="16">
        <f>IF(A167="","",IF(M167=TRUE,IFERROR(H167,0)+IFERROR(I167,0)+IFERROR(L167,0),0))</f>
        <v/>
      </c>
    </row>
    <row r="168">
      <c r="A168" s="10" t="n"/>
      <c r="B168" s="10" t="n"/>
      <c r="C168" s="11" t="n"/>
      <c r="D168" s="11" t="n"/>
      <c r="E168" s="10" t="n"/>
      <c r="F168" s="10" t="n"/>
      <c r="G168" s="12" t="n"/>
      <c r="H168" s="13" t="n"/>
      <c r="I168" s="13" t="n"/>
      <c r="J168" s="13" t="n"/>
      <c r="K168" s="13" t="n"/>
      <c r="L168" s="13" t="n"/>
      <c r="M168" s="17">
        <f>IF(A168="","",IFERROR(VLOOKUP(A168,Raw_CurrentMonth!A:O,15,FALSE)=TRUE,FALSE))</f>
        <v/>
      </c>
      <c r="N168" s="16">
        <f>IF(A168="","",IF(M168=TRUE,IFERROR(H168,0)+IFERROR(I168,0)+IFERROR(J168,0)+IFERROR(K168,0)+IFERROR(L168,0),0))</f>
        <v/>
      </c>
      <c r="O168" s="16">
        <f>IF(A168="","",IF(M168=TRUE,IFERROR(H168,0),0))</f>
        <v/>
      </c>
      <c r="P168" s="16">
        <f>IF(A168="","",IF(M168=TRUE,IFERROR(I168,0),0))</f>
        <v/>
      </c>
      <c r="Q168" s="16">
        <f>IF(A168="","",IF(M168=TRUE,IFERROR(J168,0),0))</f>
        <v/>
      </c>
      <c r="R168" s="16">
        <f>IF(A168="","",IF(M168=TRUE,IFERROR(K168,0),0))</f>
        <v/>
      </c>
      <c r="S168" s="16">
        <f>IF(A168="","",IF(M168=TRUE,IFERROR(L168,0),0))</f>
        <v/>
      </c>
      <c r="T168" s="16">
        <f>IF(A168="","",IF(M168=TRUE,IFERROR(H168,0)+IFERROR(I168,0)+IFERROR(L168,0),0))</f>
        <v/>
      </c>
    </row>
    <row r="169">
      <c r="A169" s="10" t="n"/>
      <c r="B169" s="10" t="n"/>
      <c r="C169" s="11" t="n"/>
      <c r="D169" s="11" t="n"/>
      <c r="E169" s="10" t="n"/>
      <c r="F169" s="10" t="n"/>
      <c r="G169" s="12" t="n"/>
      <c r="H169" s="13" t="n"/>
      <c r="I169" s="13" t="n"/>
      <c r="J169" s="13" t="n"/>
      <c r="K169" s="13" t="n"/>
      <c r="L169" s="13" t="n"/>
      <c r="M169" s="17">
        <f>IF(A169="","",IFERROR(VLOOKUP(A169,Raw_CurrentMonth!A:O,15,FALSE)=TRUE,FALSE))</f>
        <v/>
      </c>
      <c r="N169" s="16">
        <f>IF(A169="","",IF(M169=TRUE,IFERROR(H169,0)+IFERROR(I169,0)+IFERROR(J169,0)+IFERROR(K169,0)+IFERROR(L169,0),0))</f>
        <v/>
      </c>
      <c r="O169" s="16">
        <f>IF(A169="","",IF(M169=TRUE,IFERROR(H169,0),0))</f>
        <v/>
      </c>
      <c r="P169" s="16">
        <f>IF(A169="","",IF(M169=TRUE,IFERROR(I169,0),0))</f>
        <v/>
      </c>
      <c r="Q169" s="16">
        <f>IF(A169="","",IF(M169=TRUE,IFERROR(J169,0),0))</f>
        <v/>
      </c>
      <c r="R169" s="16">
        <f>IF(A169="","",IF(M169=TRUE,IFERROR(K169,0),0))</f>
        <v/>
      </c>
      <c r="S169" s="16">
        <f>IF(A169="","",IF(M169=TRUE,IFERROR(L169,0),0))</f>
        <v/>
      </c>
      <c r="T169" s="16">
        <f>IF(A169="","",IF(M169=TRUE,IFERROR(H169,0)+IFERROR(I169,0)+IFERROR(L169,0),0))</f>
        <v/>
      </c>
    </row>
    <row r="170">
      <c r="A170" s="10" t="n"/>
      <c r="B170" s="10" t="n"/>
      <c r="C170" s="11" t="n"/>
      <c r="D170" s="11" t="n"/>
      <c r="E170" s="10" t="n"/>
      <c r="F170" s="10" t="n"/>
      <c r="G170" s="12" t="n"/>
      <c r="H170" s="13" t="n"/>
      <c r="I170" s="13" t="n"/>
      <c r="J170" s="13" t="n"/>
      <c r="K170" s="13" t="n"/>
      <c r="L170" s="13" t="n"/>
      <c r="M170" s="17">
        <f>IF(A170="","",IFERROR(VLOOKUP(A170,Raw_CurrentMonth!A:O,15,FALSE)=TRUE,FALSE))</f>
        <v/>
      </c>
      <c r="N170" s="16">
        <f>IF(A170="","",IF(M170=TRUE,IFERROR(H170,0)+IFERROR(I170,0)+IFERROR(J170,0)+IFERROR(K170,0)+IFERROR(L170,0),0))</f>
        <v/>
      </c>
      <c r="O170" s="16">
        <f>IF(A170="","",IF(M170=TRUE,IFERROR(H170,0),0))</f>
        <v/>
      </c>
      <c r="P170" s="16">
        <f>IF(A170="","",IF(M170=TRUE,IFERROR(I170,0),0))</f>
        <v/>
      </c>
      <c r="Q170" s="16">
        <f>IF(A170="","",IF(M170=TRUE,IFERROR(J170,0),0))</f>
        <v/>
      </c>
      <c r="R170" s="16">
        <f>IF(A170="","",IF(M170=TRUE,IFERROR(K170,0),0))</f>
        <v/>
      </c>
      <c r="S170" s="16">
        <f>IF(A170="","",IF(M170=TRUE,IFERROR(L170,0),0))</f>
        <v/>
      </c>
      <c r="T170" s="16">
        <f>IF(A170="","",IF(M170=TRUE,IFERROR(H170,0)+IFERROR(I170,0)+IFERROR(L170,0),0))</f>
        <v/>
      </c>
    </row>
    <row r="171">
      <c r="A171" s="10" t="n"/>
      <c r="B171" s="10" t="n"/>
      <c r="C171" s="11" t="n"/>
      <c r="D171" s="11" t="n"/>
      <c r="E171" s="10" t="n"/>
      <c r="F171" s="10" t="n"/>
      <c r="G171" s="12" t="n"/>
      <c r="H171" s="13" t="n"/>
      <c r="I171" s="13" t="n"/>
      <c r="J171" s="13" t="n"/>
      <c r="K171" s="13" t="n"/>
      <c r="L171" s="13" t="n"/>
      <c r="M171" s="17">
        <f>IF(A171="","",IFERROR(VLOOKUP(A171,Raw_CurrentMonth!A:O,15,FALSE)=TRUE,FALSE))</f>
        <v/>
      </c>
      <c r="N171" s="16">
        <f>IF(A171="","",IF(M171=TRUE,IFERROR(H171,0)+IFERROR(I171,0)+IFERROR(J171,0)+IFERROR(K171,0)+IFERROR(L171,0),0))</f>
        <v/>
      </c>
      <c r="O171" s="16">
        <f>IF(A171="","",IF(M171=TRUE,IFERROR(H171,0),0))</f>
        <v/>
      </c>
      <c r="P171" s="16">
        <f>IF(A171="","",IF(M171=TRUE,IFERROR(I171,0),0))</f>
        <v/>
      </c>
      <c r="Q171" s="16">
        <f>IF(A171="","",IF(M171=TRUE,IFERROR(J171,0),0))</f>
        <v/>
      </c>
      <c r="R171" s="16">
        <f>IF(A171="","",IF(M171=TRUE,IFERROR(K171,0),0))</f>
        <v/>
      </c>
      <c r="S171" s="16">
        <f>IF(A171="","",IF(M171=TRUE,IFERROR(L171,0),0))</f>
        <v/>
      </c>
      <c r="T171" s="16">
        <f>IF(A171="","",IF(M171=TRUE,IFERROR(H171,0)+IFERROR(I171,0)+IFERROR(L171,0),0))</f>
        <v/>
      </c>
    </row>
    <row r="172">
      <c r="A172" s="10" t="n"/>
      <c r="B172" s="10" t="n"/>
      <c r="C172" s="11" t="n"/>
      <c r="D172" s="11" t="n"/>
      <c r="E172" s="10" t="n"/>
      <c r="F172" s="10" t="n"/>
      <c r="G172" s="12" t="n"/>
      <c r="H172" s="13" t="n"/>
      <c r="I172" s="13" t="n"/>
      <c r="J172" s="13" t="n"/>
      <c r="K172" s="13" t="n"/>
      <c r="L172" s="13" t="n"/>
      <c r="M172" s="17">
        <f>IF(A172="","",IFERROR(VLOOKUP(A172,Raw_CurrentMonth!A:O,15,FALSE)=TRUE,FALSE))</f>
        <v/>
      </c>
      <c r="N172" s="16">
        <f>IF(A172="","",IF(M172=TRUE,IFERROR(H172,0)+IFERROR(I172,0)+IFERROR(J172,0)+IFERROR(K172,0)+IFERROR(L172,0),0))</f>
        <v/>
      </c>
      <c r="O172" s="16">
        <f>IF(A172="","",IF(M172=TRUE,IFERROR(H172,0),0))</f>
        <v/>
      </c>
      <c r="P172" s="16">
        <f>IF(A172="","",IF(M172=TRUE,IFERROR(I172,0),0))</f>
        <v/>
      </c>
      <c r="Q172" s="16">
        <f>IF(A172="","",IF(M172=TRUE,IFERROR(J172,0),0))</f>
        <v/>
      </c>
      <c r="R172" s="16">
        <f>IF(A172="","",IF(M172=TRUE,IFERROR(K172,0),0))</f>
        <v/>
      </c>
      <c r="S172" s="16">
        <f>IF(A172="","",IF(M172=TRUE,IFERROR(L172,0),0))</f>
        <v/>
      </c>
      <c r="T172" s="16">
        <f>IF(A172="","",IF(M172=TRUE,IFERROR(H172,0)+IFERROR(I172,0)+IFERROR(L172,0),0))</f>
        <v/>
      </c>
    </row>
    <row r="173">
      <c r="A173" s="10" t="n"/>
      <c r="B173" s="10" t="n"/>
      <c r="C173" s="11" t="n"/>
      <c r="D173" s="11" t="n"/>
      <c r="E173" s="10" t="n"/>
      <c r="F173" s="10" t="n"/>
      <c r="G173" s="12" t="n"/>
      <c r="H173" s="13" t="n"/>
      <c r="I173" s="13" t="n"/>
      <c r="J173" s="13" t="n"/>
      <c r="K173" s="13" t="n"/>
      <c r="L173" s="13" t="n"/>
      <c r="M173" s="17">
        <f>IF(A173="","",IFERROR(VLOOKUP(A173,Raw_CurrentMonth!A:O,15,FALSE)=TRUE,FALSE))</f>
        <v/>
      </c>
      <c r="N173" s="16">
        <f>IF(A173="","",IF(M173=TRUE,IFERROR(H173,0)+IFERROR(I173,0)+IFERROR(J173,0)+IFERROR(K173,0)+IFERROR(L173,0),0))</f>
        <v/>
      </c>
      <c r="O173" s="16">
        <f>IF(A173="","",IF(M173=TRUE,IFERROR(H173,0),0))</f>
        <v/>
      </c>
      <c r="P173" s="16">
        <f>IF(A173="","",IF(M173=TRUE,IFERROR(I173,0),0))</f>
        <v/>
      </c>
      <c r="Q173" s="16">
        <f>IF(A173="","",IF(M173=TRUE,IFERROR(J173,0),0))</f>
        <v/>
      </c>
      <c r="R173" s="16">
        <f>IF(A173="","",IF(M173=TRUE,IFERROR(K173,0),0))</f>
        <v/>
      </c>
      <c r="S173" s="16">
        <f>IF(A173="","",IF(M173=TRUE,IFERROR(L173,0),0))</f>
        <v/>
      </c>
      <c r="T173" s="16">
        <f>IF(A173="","",IF(M173=TRUE,IFERROR(H173,0)+IFERROR(I173,0)+IFERROR(L173,0),0))</f>
        <v/>
      </c>
    </row>
    <row r="174">
      <c r="A174" s="10" t="n"/>
      <c r="B174" s="10" t="n"/>
      <c r="C174" s="11" t="n"/>
      <c r="D174" s="11" t="n"/>
      <c r="E174" s="10" t="n"/>
      <c r="F174" s="10" t="n"/>
      <c r="G174" s="12" t="n"/>
      <c r="H174" s="13" t="n"/>
      <c r="I174" s="13" t="n"/>
      <c r="J174" s="13" t="n"/>
      <c r="K174" s="13" t="n"/>
      <c r="L174" s="13" t="n"/>
      <c r="M174" s="17">
        <f>IF(A174="","",IFERROR(VLOOKUP(A174,Raw_CurrentMonth!A:O,15,FALSE)=TRUE,FALSE))</f>
        <v/>
      </c>
      <c r="N174" s="16">
        <f>IF(A174="","",IF(M174=TRUE,IFERROR(H174,0)+IFERROR(I174,0)+IFERROR(J174,0)+IFERROR(K174,0)+IFERROR(L174,0),0))</f>
        <v/>
      </c>
      <c r="O174" s="16">
        <f>IF(A174="","",IF(M174=TRUE,IFERROR(H174,0),0))</f>
        <v/>
      </c>
      <c r="P174" s="16">
        <f>IF(A174="","",IF(M174=TRUE,IFERROR(I174,0),0))</f>
        <v/>
      </c>
      <c r="Q174" s="16">
        <f>IF(A174="","",IF(M174=TRUE,IFERROR(J174,0),0))</f>
        <v/>
      </c>
      <c r="R174" s="16">
        <f>IF(A174="","",IF(M174=TRUE,IFERROR(K174,0),0))</f>
        <v/>
      </c>
      <c r="S174" s="16">
        <f>IF(A174="","",IF(M174=TRUE,IFERROR(L174,0),0))</f>
        <v/>
      </c>
      <c r="T174" s="16">
        <f>IF(A174="","",IF(M174=TRUE,IFERROR(H174,0)+IFERROR(I174,0)+IFERROR(L174,0),0))</f>
        <v/>
      </c>
    </row>
    <row r="175">
      <c r="A175" s="10" t="n"/>
      <c r="B175" s="10" t="n"/>
      <c r="C175" s="11" t="n"/>
      <c r="D175" s="11" t="n"/>
      <c r="E175" s="10" t="n"/>
      <c r="F175" s="10" t="n"/>
      <c r="G175" s="12" t="n"/>
      <c r="H175" s="13" t="n"/>
      <c r="I175" s="13" t="n"/>
      <c r="J175" s="13" t="n"/>
      <c r="K175" s="13" t="n"/>
      <c r="L175" s="13" t="n"/>
      <c r="M175" s="17">
        <f>IF(A175="","",IFERROR(VLOOKUP(A175,Raw_CurrentMonth!A:O,15,FALSE)=TRUE,FALSE))</f>
        <v/>
      </c>
      <c r="N175" s="16">
        <f>IF(A175="","",IF(M175=TRUE,IFERROR(H175,0)+IFERROR(I175,0)+IFERROR(J175,0)+IFERROR(K175,0)+IFERROR(L175,0),0))</f>
        <v/>
      </c>
      <c r="O175" s="16">
        <f>IF(A175="","",IF(M175=TRUE,IFERROR(H175,0),0))</f>
        <v/>
      </c>
      <c r="P175" s="16">
        <f>IF(A175="","",IF(M175=TRUE,IFERROR(I175,0),0))</f>
        <v/>
      </c>
      <c r="Q175" s="16">
        <f>IF(A175="","",IF(M175=TRUE,IFERROR(J175,0),0))</f>
        <v/>
      </c>
      <c r="R175" s="16">
        <f>IF(A175="","",IF(M175=TRUE,IFERROR(K175,0),0))</f>
        <v/>
      </c>
      <c r="S175" s="16">
        <f>IF(A175="","",IF(M175=TRUE,IFERROR(L175,0),0))</f>
        <v/>
      </c>
      <c r="T175" s="16">
        <f>IF(A175="","",IF(M175=TRUE,IFERROR(H175,0)+IFERROR(I175,0)+IFERROR(L175,0),0))</f>
        <v/>
      </c>
    </row>
    <row r="176">
      <c r="A176" s="10" t="n"/>
      <c r="B176" s="10" t="n"/>
      <c r="C176" s="11" t="n"/>
      <c r="D176" s="11" t="n"/>
      <c r="E176" s="10" t="n"/>
      <c r="F176" s="10" t="n"/>
      <c r="G176" s="12" t="n"/>
      <c r="H176" s="13" t="n"/>
      <c r="I176" s="13" t="n"/>
      <c r="J176" s="13" t="n"/>
      <c r="K176" s="13" t="n"/>
      <c r="L176" s="13" t="n"/>
      <c r="M176" s="17">
        <f>IF(A176="","",IFERROR(VLOOKUP(A176,Raw_CurrentMonth!A:O,15,FALSE)=TRUE,FALSE))</f>
        <v/>
      </c>
      <c r="N176" s="16">
        <f>IF(A176="","",IF(M176=TRUE,IFERROR(H176,0)+IFERROR(I176,0)+IFERROR(J176,0)+IFERROR(K176,0)+IFERROR(L176,0),0))</f>
        <v/>
      </c>
      <c r="O176" s="16">
        <f>IF(A176="","",IF(M176=TRUE,IFERROR(H176,0),0))</f>
        <v/>
      </c>
      <c r="P176" s="16">
        <f>IF(A176="","",IF(M176=TRUE,IFERROR(I176,0),0))</f>
        <v/>
      </c>
      <c r="Q176" s="16">
        <f>IF(A176="","",IF(M176=TRUE,IFERROR(J176,0),0))</f>
        <v/>
      </c>
      <c r="R176" s="16">
        <f>IF(A176="","",IF(M176=TRUE,IFERROR(K176,0),0))</f>
        <v/>
      </c>
      <c r="S176" s="16">
        <f>IF(A176="","",IF(M176=TRUE,IFERROR(L176,0),0))</f>
        <v/>
      </c>
      <c r="T176" s="16">
        <f>IF(A176="","",IF(M176=TRUE,IFERROR(H176,0)+IFERROR(I176,0)+IFERROR(L176,0),0))</f>
        <v/>
      </c>
    </row>
    <row r="177">
      <c r="A177" s="10" t="n"/>
      <c r="B177" s="10" t="n"/>
      <c r="C177" s="11" t="n"/>
      <c r="D177" s="11" t="n"/>
      <c r="E177" s="10" t="n"/>
      <c r="F177" s="10" t="n"/>
      <c r="G177" s="12" t="n"/>
      <c r="H177" s="13" t="n"/>
      <c r="I177" s="13" t="n"/>
      <c r="J177" s="13" t="n"/>
      <c r="K177" s="13" t="n"/>
      <c r="L177" s="13" t="n"/>
      <c r="M177" s="17">
        <f>IF(A177="","",IFERROR(VLOOKUP(A177,Raw_CurrentMonth!A:O,15,FALSE)=TRUE,FALSE))</f>
        <v/>
      </c>
      <c r="N177" s="16">
        <f>IF(A177="","",IF(M177=TRUE,IFERROR(H177,0)+IFERROR(I177,0)+IFERROR(J177,0)+IFERROR(K177,0)+IFERROR(L177,0),0))</f>
        <v/>
      </c>
      <c r="O177" s="16">
        <f>IF(A177="","",IF(M177=TRUE,IFERROR(H177,0),0))</f>
        <v/>
      </c>
      <c r="P177" s="16">
        <f>IF(A177="","",IF(M177=TRUE,IFERROR(I177,0),0))</f>
        <v/>
      </c>
      <c r="Q177" s="16">
        <f>IF(A177="","",IF(M177=TRUE,IFERROR(J177,0),0))</f>
        <v/>
      </c>
      <c r="R177" s="16">
        <f>IF(A177="","",IF(M177=TRUE,IFERROR(K177,0),0))</f>
        <v/>
      </c>
      <c r="S177" s="16">
        <f>IF(A177="","",IF(M177=TRUE,IFERROR(L177,0),0))</f>
        <v/>
      </c>
      <c r="T177" s="16">
        <f>IF(A177="","",IF(M177=TRUE,IFERROR(H177,0)+IFERROR(I177,0)+IFERROR(L177,0),0))</f>
        <v/>
      </c>
    </row>
    <row r="178">
      <c r="A178" s="10" t="n"/>
      <c r="B178" s="10" t="n"/>
      <c r="C178" s="11" t="n"/>
      <c r="D178" s="11" t="n"/>
      <c r="E178" s="10" t="n"/>
      <c r="F178" s="10" t="n"/>
      <c r="G178" s="12" t="n"/>
      <c r="H178" s="13" t="n"/>
      <c r="I178" s="13" t="n"/>
      <c r="J178" s="13" t="n"/>
      <c r="K178" s="13" t="n"/>
      <c r="L178" s="13" t="n"/>
      <c r="M178" s="17">
        <f>IF(A178="","",IFERROR(VLOOKUP(A178,Raw_CurrentMonth!A:O,15,FALSE)=TRUE,FALSE))</f>
        <v/>
      </c>
      <c r="N178" s="16">
        <f>IF(A178="","",IF(M178=TRUE,IFERROR(H178,0)+IFERROR(I178,0)+IFERROR(J178,0)+IFERROR(K178,0)+IFERROR(L178,0),0))</f>
        <v/>
      </c>
      <c r="O178" s="16">
        <f>IF(A178="","",IF(M178=TRUE,IFERROR(H178,0),0))</f>
        <v/>
      </c>
      <c r="P178" s="16">
        <f>IF(A178="","",IF(M178=TRUE,IFERROR(I178,0),0))</f>
        <v/>
      </c>
      <c r="Q178" s="16">
        <f>IF(A178="","",IF(M178=TRUE,IFERROR(J178,0),0))</f>
        <v/>
      </c>
      <c r="R178" s="16">
        <f>IF(A178="","",IF(M178=TRUE,IFERROR(K178,0),0))</f>
        <v/>
      </c>
      <c r="S178" s="16">
        <f>IF(A178="","",IF(M178=TRUE,IFERROR(L178,0),0))</f>
        <v/>
      </c>
      <c r="T178" s="16">
        <f>IF(A178="","",IF(M178=TRUE,IFERROR(H178,0)+IFERROR(I178,0)+IFERROR(L178,0),0))</f>
        <v/>
      </c>
    </row>
    <row r="179">
      <c r="A179" s="10" t="n"/>
      <c r="B179" s="10" t="n"/>
      <c r="C179" s="11" t="n"/>
      <c r="D179" s="11" t="n"/>
      <c r="E179" s="10" t="n"/>
      <c r="F179" s="10" t="n"/>
      <c r="G179" s="12" t="n"/>
      <c r="H179" s="13" t="n"/>
      <c r="I179" s="13" t="n"/>
      <c r="J179" s="13" t="n"/>
      <c r="K179" s="13" t="n"/>
      <c r="L179" s="13" t="n"/>
      <c r="M179" s="17">
        <f>IF(A179="","",IFERROR(VLOOKUP(A179,Raw_CurrentMonth!A:O,15,FALSE)=TRUE,FALSE))</f>
        <v/>
      </c>
      <c r="N179" s="16">
        <f>IF(A179="","",IF(M179=TRUE,IFERROR(H179,0)+IFERROR(I179,0)+IFERROR(J179,0)+IFERROR(K179,0)+IFERROR(L179,0),0))</f>
        <v/>
      </c>
      <c r="O179" s="16">
        <f>IF(A179="","",IF(M179=TRUE,IFERROR(H179,0),0))</f>
        <v/>
      </c>
      <c r="P179" s="16">
        <f>IF(A179="","",IF(M179=TRUE,IFERROR(I179,0),0))</f>
        <v/>
      </c>
      <c r="Q179" s="16">
        <f>IF(A179="","",IF(M179=TRUE,IFERROR(J179,0),0))</f>
        <v/>
      </c>
      <c r="R179" s="16">
        <f>IF(A179="","",IF(M179=TRUE,IFERROR(K179,0),0))</f>
        <v/>
      </c>
      <c r="S179" s="16">
        <f>IF(A179="","",IF(M179=TRUE,IFERROR(L179,0),0))</f>
        <v/>
      </c>
      <c r="T179" s="16">
        <f>IF(A179="","",IF(M179=TRUE,IFERROR(H179,0)+IFERROR(I179,0)+IFERROR(L179,0),0))</f>
        <v/>
      </c>
    </row>
    <row r="180">
      <c r="A180" s="10" t="n"/>
      <c r="B180" s="10" t="n"/>
      <c r="C180" s="11" t="n"/>
      <c r="D180" s="11" t="n"/>
      <c r="E180" s="10" t="n"/>
      <c r="F180" s="10" t="n"/>
      <c r="G180" s="12" t="n"/>
      <c r="H180" s="13" t="n"/>
      <c r="I180" s="13" t="n"/>
      <c r="J180" s="13" t="n"/>
      <c r="K180" s="13" t="n"/>
      <c r="L180" s="13" t="n"/>
      <c r="M180" s="17">
        <f>IF(A180="","",IFERROR(VLOOKUP(A180,Raw_CurrentMonth!A:O,15,FALSE)=TRUE,FALSE))</f>
        <v/>
      </c>
      <c r="N180" s="16">
        <f>IF(A180="","",IF(M180=TRUE,IFERROR(H180,0)+IFERROR(I180,0)+IFERROR(J180,0)+IFERROR(K180,0)+IFERROR(L180,0),0))</f>
        <v/>
      </c>
      <c r="O180" s="16">
        <f>IF(A180="","",IF(M180=TRUE,IFERROR(H180,0),0))</f>
        <v/>
      </c>
      <c r="P180" s="16">
        <f>IF(A180="","",IF(M180=TRUE,IFERROR(I180,0),0))</f>
        <v/>
      </c>
      <c r="Q180" s="16">
        <f>IF(A180="","",IF(M180=TRUE,IFERROR(J180,0),0))</f>
        <v/>
      </c>
      <c r="R180" s="16">
        <f>IF(A180="","",IF(M180=TRUE,IFERROR(K180,0),0))</f>
        <v/>
      </c>
      <c r="S180" s="16">
        <f>IF(A180="","",IF(M180=TRUE,IFERROR(L180,0),0))</f>
        <v/>
      </c>
      <c r="T180" s="16">
        <f>IF(A180="","",IF(M180=TRUE,IFERROR(H180,0)+IFERROR(I180,0)+IFERROR(L180,0),0))</f>
        <v/>
      </c>
    </row>
    <row r="181">
      <c r="A181" s="10" t="n"/>
      <c r="B181" s="10" t="n"/>
      <c r="C181" s="11" t="n"/>
      <c r="D181" s="11" t="n"/>
      <c r="E181" s="10" t="n"/>
      <c r="F181" s="10" t="n"/>
      <c r="G181" s="12" t="n"/>
      <c r="H181" s="13" t="n"/>
      <c r="I181" s="13" t="n"/>
      <c r="J181" s="13" t="n"/>
      <c r="K181" s="13" t="n"/>
      <c r="L181" s="13" t="n"/>
      <c r="M181" s="17">
        <f>IF(A181="","",IFERROR(VLOOKUP(A181,Raw_CurrentMonth!A:O,15,FALSE)=TRUE,FALSE))</f>
        <v/>
      </c>
      <c r="N181" s="16">
        <f>IF(A181="","",IF(M181=TRUE,IFERROR(H181,0)+IFERROR(I181,0)+IFERROR(J181,0)+IFERROR(K181,0)+IFERROR(L181,0),0))</f>
        <v/>
      </c>
      <c r="O181" s="16">
        <f>IF(A181="","",IF(M181=TRUE,IFERROR(H181,0),0))</f>
        <v/>
      </c>
      <c r="P181" s="16">
        <f>IF(A181="","",IF(M181=TRUE,IFERROR(I181,0),0))</f>
        <v/>
      </c>
      <c r="Q181" s="16">
        <f>IF(A181="","",IF(M181=TRUE,IFERROR(J181,0),0))</f>
        <v/>
      </c>
      <c r="R181" s="16">
        <f>IF(A181="","",IF(M181=TRUE,IFERROR(K181,0),0))</f>
        <v/>
      </c>
      <c r="S181" s="16">
        <f>IF(A181="","",IF(M181=TRUE,IFERROR(L181,0),0))</f>
        <v/>
      </c>
      <c r="T181" s="16">
        <f>IF(A181="","",IF(M181=TRUE,IFERROR(H181,0)+IFERROR(I181,0)+IFERROR(L181,0),0))</f>
        <v/>
      </c>
    </row>
    <row r="182">
      <c r="A182" s="10" t="n"/>
      <c r="B182" s="10" t="n"/>
      <c r="C182" s="11" t="n"/>
      <c r="D182" s="11" t="n"/>
      <c r="E182" s="10" t="n"/>
      <c r="F182" s="10" t="n"/>
      <c r="G182" s="12" t="n"/>
      <c r="H182" s="13" t="n"/>
      <c r="I182" s="13" t="n"/>
      <c r="J182" s="13" t="n"/>
      <c r="K182" s="13" t="n"/>
      <c r="L182" s="13" t="n"/>
      <c r="M182" s="17">
        <f>IF(A182="","",IFERROR(VLOOKUP(A182,Raw_CurrentMonth!A:O,15,FALSE)=TRUE,FALSE))</f>
        <v/>
      </c>
      <c r="N182" s="16">
        <f>IF(A182="","",IF(M182=TRUE,IFERROR(H182,0)+IFERROR(I182,0)+IFERROR(J182,0)+IFERROR(K182,0)+IFERROR(L182,0),0))</f>
        <v/>
      </c>
      <c r="O182" s="16">
        <f>IF(A182="","",IF(M182=TRUE,IFERROR(H182,0),0))</f>
        <v/>
      </c>
      <c r="P182" s="16">
        <f>IF(A182="","",IF(M182=TRUE,IFERROR(I182,0),0))</f>
        <v/>
      </c>
      <c r="Q182" s="16">
        <f>IF(A182="","",IF(M182=TRUE,IFERROR(J182,0),0))</f>
        <v/>
      </c>
      <c r="R182" s="16">
        <f>IF(A182="","",IF(M182=TRUE,IFERROR(K182,0),0))</f>
        <v/>
      </c>
      <c r="S182" s="16">
        <f>IF(A182="","",IF(M182=TRUE,IFERROR(L182,0),0))</f>
        <v/>
      </c>
      <c r="T182" s="16">
        <f>IF(A182="","",IF(M182=TRUE,IFERROR(H182,0)+IFERROR(I182,0)+IFERROR(L182,0),0))</f>
        <v/>
      </c>
    </row>
    <row r="183">
      <c r="A183" s="10" t="n"/>
      <c r="B183" s="10" t="n"/>
      <c r="C183" s="11" t="n"/>
      <c r="D183" s="11" t="n"/>
      <c r="E183" s="10" t="n"/>
      <c r="F183" s="10" t="n"/>
      <c r="G183" s="12" t="n"/>
      <c r="H183" s="13" t="n"/>
      <c r="I183" s="13" t="n"/>
      <c r="J183" s="13" t="n"/>
      <c r="K183" s="13" t="n"/>
      <c r="L183" s="13" t="n"/>
      <c r="M183" s="17">
        <f>IF(A183="","",IFERROR(VLOOKUP(A183,Raw_CurrentMonth!A:O,15,FALSE)=TRUE,FALSE))</f>
        <v/>
      </c>
      <c r="N183" s="16">
        <f>IF(A183="","",IF(M183=TRUE,IFERROR(H183,0)+IFERROR(I183,0)+IFERROR(J183,0)+IFERROR(K183,0)+IFERROR(L183,0),0))</f>
        <v/>
      </c>
      <c r="O183" s="16">
        <f>IF(A183="","",IF(M183=TRUE,IFERROR(H183,0),0))</f>
        <v/>
      </c>
      <c r="P183" s="16">
        <f>IF(A183="","",IF(M183=TRUE,IFERROR(I183,0),0))</f>
        <v/>
      </c>
      <c r="Q183" s="16">
        <f>IF(A183="","",IF(M183=TRUE,IFERROR(J183,0),0))</f>
        <v/>
      </c>
      <c r="R183" s="16">
        <f>IF(A183="","",IF(M183=TRUE,IFERROR(K183,0),0))</f>
        <v/>
      </c>
      <c r="S183" s="16">
        <f>IF(A183="","",IF(M183=TRUE,IFERROR(L183,0),0))</f>
        <v/>
      </c>
      <c r="T183" s="16">
        <f>IF(A183="","",IF(M183=TRUE,IFERROR(H183,0)+IFERROR(I183,0)+IFERROR(L183,0),0))</f>
        <v/>
      </c>
    </row>
    <row r="184">
      <c r="A184" s="10" t="n"/>
      <c r="B184" s="10" t="n"/>
      <c r="C184" s="11" t="n"/>
      <c r="D184" s="11" t="n"/>
      <c r="E184" s="10" t="n"/>
      <c r="F184" s="10" t="n"/>
      <c r="G184" s="12" t="n"/>
      <c r="H184" s="13" t="n"/>
      <c r="I184" s="13" t="n"/>
      <c r="J184" s="13" t="n"/>
      <c r="K184" s="13" t="n"/>
      <c r="L184" s="13" t="n"/>
      <c r="M184" s="17">
        <f>IF(A184="","",IFERROR(VLOOKUP(A184,Raw_CurrentMonth!A:O,15,FALSE)=TRUE,FALSE))</f>
        <v/>
      </c>
      <c r="N184" s="16">
        <f>IF(A184="","",IF(M184=TRUE,IFERROR(H184,0)+IFERROR(I184,0)+IFERROR(J184,0)+IFERROR(K184,0)+IFERROR(L184,0),0))</f>
        <v/>
      </c>
      <c r="O184" s="16">
        <f>IF(A184="","",IF(M184=TRUE,IFERROR(H184,0),0))</f>
        <v/>
      </c>
      <c r="P184" s="16">
        <f>IF(A184="","",IF(M184=TRUE,IFERROR(I184,0),0))</f>
        <v/>
      </c>
      <c r="Q184" s="16">
        <f>IF(A184="","",IF(M184=TRUE,IFERROR(J184,0),0))</f>
        <v/>
      </c>
      <c r="R184" s="16">
        <f>IF(A184="","",IF(M184=TRUE,IFERROR(K184,0),0))</f>
        <v/>
      </c>
      <c r="S184" s="16">
        <f>IF(A184="","",IF(M184=TRUE,IFERROR(L184,0),0))</f>
        <v/>
      </c>
      <c r="T184" s="16">
        <f>IF(A184="","",IF(M184=TRUE,IFERROR(H184,0)+IFERROR(I184,0)+IFERROR(L184,0),0))</f>
        <v/>
      </c>
    </row>
    <row r="185">
      <c r="A185" s="10" t="n"/>
      <c r="B185" s="10" t="n"/>
      <c r="C185" s="11" t="n"/>
      <c r="D185" s="11" t="n"/>
      <c r="E185" s="10" t="n"/>
      <c r="F185" s="10" t="n"/>
      <c r="G185" s="12" t="n"/>
      <c r="H185" s="13" t="n"/>
      <c r="I185" s="13" t="n"/>
      <c r="J185" s="13" t="n"/>
      <c r="K185" s="13" t="n"/>
      <c r="L185" s="13" t="n"/>
      <c r="M185" s="17">
        <f>IF(A185="","",IFERROR(VLOOKUP(A185,Raw_CurrentMonth!A:O,15,FALSE)=TRUE,FALSE))</f>
        <v/>
      </c>
      <c r="N185" s="16">
        <f>IF(A185="","",IF(M185=TRUE,IFERROR(H185,0)+IFERROR(I185,0)+IFERROR(J185,0)+IFERROR(K185,0)+IFERROR(L185,0),0))</f>
        <v/>
      </c>
      <c r="O185" s="16">
        <f>IF(A185="","",IF(M185=TRUE,IFERROR(H185,0),0))</f>
        <v/>
      </c>
      <c r="P185" s="16">
        <f>IF(A185="","",IF(M185=TRUE,IFERROR(I185,0),0))</f>
        <v/>
      </c>
      <c r="Q185" s="16">
        <f>IF(A185="","",IF(M185=TRUE,IFERROR(J185,0),0))</f>
        <v/>
      </c>
      <c r="R185" s="16">
        <f>IF(A185="","",IF(M185=TRUE,IFERROR(K185,0),0))</f>
        <v/>
      </c>
      <c r="S185" s="16">
        <f>IF(A185="","",IF(M185=TRUE,IFERROR(L185,0),0))</f>
        <v/>
      </c>
      <c r="T185" s="16">
        <f>IF(A185="","",IF(M185=TRUE,IFERROR(H185,0)+IFERROR(I185,0)+IFERROR(L185,0),0))</f>
        <v/>
      </c>
    </row>
    <row r="186">
      <c r="A186" s="10" t="n"/>
      <c r="B186" s="10" t="n"/>
      <c r="C186" s="11" t="n"/>
      <c r="D186" s="11" t="n"/>
      <c r="E186" s="10" t="n"/>
      <c r="F186" s="10" t="n"/>
      <c r="G186" s="12" t="n"/>
      <c r="H186" s="13" t="n"/>
      <c r="I186" s="13" t="n"/>
      <c r="J186" s="13" t="n"/>
      <c r="K186" s="13" t="n"/>
      <c r="L186" s="13" t="n"/>
      <c r="M186" s="17">
        <f>IF(A186="","",IFERROR(VLOOKUP(A186,Raw_CurrentMonth!A:O,15,FALSE)=TRUE,FALSE))</f>
        <v/>
      </c>
      <c r="N186" s="16">
        <f>IF(A186="","",IF(M186=TRUE,IFERROR(H186,0)+IFERROR(I186,0)+IFERROR(J186,0)+IFERROR(K186,0)+IFERROR(L186,0),0))</f>
        <v/>
      </c>
      <c r="O186" s="16">
        <f>IF(A186="","",IF(M186=TRUE,IFERROR(H186,0),0))</f>
        <v/>
      </c>
      <c r="P186" s="16">
        <f>IF(A186="","",IF(M186=TRUE,IFERROR(I186,0),0))</f>
        <v/>
      </c>
      <c r="Q186" s="16">
        <f>IF(A186="","",IF(M186=TRUE,IFERROR(J186,0),0))</f>
        <v/>
      </c>
      <c r="R186" s="16">
        <f>IF(A186="","",IF(M186=TRUE,IFERROR(K186,0),0))</f>
        <v/>
      </c>
      <c r="S186" s="16">
        <f>IF(A186="","",IF(M186=TRUE,IFERROR(L186,0),0))</f>
        <v/>
      </c>
      <c r="T186" s="16">
        <f>IF(A186="","",IF(M186=TRUE,IFERROR(H186,0)+IFERROR(I186,0)+IFERROR(L186,0),0))</f>
        <v/>
      </c>
    </row>
    <row r="187">
      <c r="A187" s="10" t="n"/>
      <c r="B187" s="10" t="n"/>
      <c r="C187" s="11" t="n"/>
      <c r="D187" s="11" t="n"/>
      <c r="E187" s="10" t="n"/>
      <c r="F187" s="10" t="n"/>
      <c r="G187" s="12" t="n"/>
      <c r="H187" s="13" t="n"/>
      <c r="I187" s="13" t="n"/>
      <c r="J187" s="13" t="n"/>
      <c r="K187" s="13" t="n"/>
      <c r="L187" s="13" t="n"/>
      <c r="M187" s="17">
        <f>IF(A187="","",IFERROR(VLOOKUP(A187,Raw_CurrentMonth!A:O,15,FALSE)=TRUE,FALSE))</f>
        <v/>
      </c>
      <c r="N187" s="16">
        <f>IF(A187="","",IF(M187=TRUE,IFERROR(H187,0)+IFERROR(I187,0)+IFERROR(J187,0)+IFERROR(K187,0)+IFERROR(L187,0),0))</f>
        <v/>
      </c>
      <c r="O187" s="16">
        <f>IF(A187="","",IF(M187=TRUE,IFERROR(H187,0),0))</f>
        <v/>
      </c>
      <c r="P187" s="16">
        <f>IF(A187="","",IF(M187=TRUE,IFERROR(I187,0),0))</f>
        <v/>
      </c>
      <c r="Q187" s="16">
        <f>IF(A187="","",IF(M187=TRUE,IFERROR(J187,0),0))</f>
        <v/>
      </c>
      <c r="R187" s="16">
        <f>IF(A187="","",IF(M187=TRUE,IFERROR(K187,0),0))</f>
        <v/>
      </c>
      <c r="S187" s="16">
        <f>IF(A187="","",IF(M187=TRUE,IFERROR(L187,0),0))</f>
        <v/>
      </c>
      <c r="T187" s="16">
        <f>IF(A187="","",IF(M187=TRUE,IFERROR(H187,0)+IFERROR(I187,0)+IFERROR(L187,0),0))</f>
        <v/>
      </c>
    </row>
    <row r="188">
      <c r="A188" s="10" t="n"/>
      <c r="B188" s="10" t="n"/>
      <c r="C188" s="11" t="n"/>
      <c r="D188" s="11" t="n"/>
      <c r="E188" s="10" t="n"/>
      <c r="F188" s="10" t="n"/>
      <c r="G188" s="12" t="n"/>
      <c r="H188" s="13" t="n"/>
      <c r="I188" s="13" t="n"/>
      <c r="J188" s="13" t="n"/>
      <c r="K188" s="13" t="n"/>
      <c r="L188" s="13" t="n"/>
      <c r="M188" s="17">
        <f>IF(A188="","",IFERROR(VLOOKUP(A188,Raw_CurrentMonth!A:O,15,FALSE)=TRUE,FALSE))</f>
        <v/>
      </c>
      <c r="N188" s="16">
        <f>IF(A188="","",IF(M188=TRUE,IFERROR(H188,0)+IFERROR(I188,0)+IFERROR(J188,0)+IFERROR(K188,0)+IFERROR(L188,0),0))</f>
        <v/>
      </c>
      <c r="O188" s="16">
        <f>IF(A188="","",IF(M188=TRUE,IFERROR(H188,0),0))</f>
        <v/>
      </c>
      <c r="P188" s="16">
        <f>IF(A188="","",IF(M188=TRUE,IFERROR(I188,0),0))</f>
        <v/>
      </c>
      <c r="Q188" s="16">
        <f>IF(A188="","",IF(M188=TRUE,IFERROR(J188,0),0))</f>
        <v/>
      </c>
      <c r="R188" s="16">
        <f>IF(A188="","",IF(M188=TRUE,IFERROR(K188,0),0))</f>
        <v/>
      </c>
      <c r="S188" s="16">
        <f>IF(A188="","",IF(M188=TRUE,IFERROR(L188,0),0))</f>
        <v/>
      </c>
      <c r="T188" s="16">
        <f>IF(A188="","",IF(M188=TRUE,IFERROR(H188,0)+IFERROR(I188,0)+IFERROR(L188,0),0))</f>
        <v/>
      </c>
    </row>
    <row r="189">
      <c r="A189" s="10" t="n"/>
      <c r="B189" s="10" t="n"/>
      <c r="C189" s="11" t="n"/>
      <c r="D189" s="11" t="n"/>
      <c r="E189" s="10" t="n"/>
      <c r="F189" s="10" t="n"/>
      <c r="G189" s="12" t="n"/>
      <c r="H189" s="13" t="n"/>
      <c r="I189" s="13" t="n"/>
      <c r="J189" s="13" t="n"/>
      <c r="K189" s="13" t="n"/>
      <c r="L189" s="13" t="n"/>
      <c r="M189" s="17">
        <f>IF(A189="","",IFERROR(VLOOKUP(A189,Raw_CurrentMonth!A:O,15,FALSE)=TRUE,FALSE))</f>
        <v/>
      </c>
      <c r="N189" s="16">
        <f>IF(A189="","",IF(M189=TRUE,IFERROR(H189,0)+IFERROR(I189,0)+IFERROR(J189,0)+IFERROR(K189,0)+IFERROR(L189,0),0))</f>
        <v/>
      </c>
      <c r="O189" s="16">
        <f>IF(A189="","",IF(M189=TRUE,IFERROR(H189,0),0))</f>
        <v/>
      </c>
      <c r="P189" s="16">
        <f>IF(A189="","",IF(M189=TRUE,IFERROR(I189,0),0))</f>
        <v/>
      </c>
      <c r="Q189" s="16">
        <f>IF(A189="","",IF(M189=TRUE,IFERROR(J189,0),0))</f>
        <v/>
      </c>
      <c r="R189" s="16">
        <f>IF(A189="","",IF(M189=TRUE,IFERROR(K189,0),0))</f>
        <v/>
      </c>
      <c r="S189" s="16">
        <f>IF(A189="","",IF(M189=TRUE,IFERROR(L189,0),0))</f>
        <v/>
      </c>
      <c r="T189" s="16">
        <f>IF(A189="","",IF(M189=TRUE,IFERROR(H189,0)+IFERROR(I189,0)+IFERROR(L189,0),0))</f>
        <v/>
      </c>
    </row>
    <row r="190">
      <c r="A190" s="10" t="n"/>
      <c r="B190" s="10" t="n"/>
      <c r="C190" s="11" t="n"/>
      <c r="D190" s="11" t="n"/>
      <c r="E190" s="10" t="n"/>
      <c r="F190" s="10" t="n"/>
      <c r="G190" s="12" t="n"/>
      <c r="H190" s="13" t="n"/>
      <c r="I190" s="13" t="n"/>
      <c r="J190" s="13" t="n"/>
      <c r="K190" s="13" t="n"/>
      <c r="L190" s="13" t="n"/>
      <c r="M190" s="17">
        <f>IF(A190="","",IFERROR(VLOOKUP(A190,Raw_CurrentMonth!A:O,15,FALSE)=TRUE,FALSE))</f>
        <v/>
      </c>
      <c r="N190" s="16">
        <f>IF(A190="","",IF(M190=TRUE,IFERROR(H190,0)+IFERROR(I190,0)+IFERROR(J190,0)+IFERROR(K190,0)+IFERROR(L190,0),0))</f>
        <v/>
      </c>
      <c r="O190" s="16">
        <f>IF(A190="","",IF(M190=TRUE,IFERROR(H190,0),0))</f>
        <v/>
      </c>
      <c r="P190" s="16">
        <f>IF(A190="","",IF(M190=TRUE,IFERROR(I190,0),0))</f>
        <v/>
      </c>
      <c r="Q190" s="16">
        <f>IF(A190="","",IF(M190=TRUE,IFERROR(J190,0),0))</f>
        <v/>
      </c>
      <c r="R190" s="16">
        <f>IF(A190="","",IF(M190=TRUE,IFERROR(K190,0),0))</f>
        <v/>
      </c>
      <c r="S190" s="16">
        <f>IF(A190="","",IF(M190=TRUE,IFERROR(L190,0),0))</f>
        <v/>
      </c>
      <c r="T190" s="16">
        <f>IF(A190="","",IF(M190=TRUE,IFERROR(H190,0)+IFERROR(I190,0)+IFERROR(L190,0),0))</f>
        <v/>
      </c>
    </row>
    <row r="191">
      <c r="A191" s="10" t="n"/>
      <c r="B191" s="10" t="n"/>
      <c r="C191" s="11" t="n"/>
      <c r="D191" s="11" t="n"/>
      <c r="E191" s="10" t="n"/>
      <c r="F191" s="10" t="n"/>
      <c r="G191" s="12" t="n"/>
      <c r="H191" s="13" t="n"/>
      <c r="I191" s="13" t="n"/>
      <c r="J191" s="13" t="n"/>
      <c r="K191" s="13" t="n"/>
      <c r="L191" s="13" t="n"/>
      <c r="M191" s="17">
        <f>IF(A191="","",IFERROR(VLOOKUP(A191,Raw_CurrentMonth!A:O,15,FALSE)=TRUE,FALSE))</f>
        <v/>
      </c>
      <c r="N191" s="16">
        <f>IF(A191="","",IF(M191=TRUE,IFERROR(H191,0)+IFERROR(I191,0)+IFERROR(J191,0)+IFERROR(K191,0)+IFERROR(L191,0),0))</f>
        <v/>
      </c>
      <c r="O191" s="16">
        <f>IF(A191="","",IF(M191=TRUE,IFERROR(H191,0),0))</f>
        <v/>
      </c>
      <c r="P191" s="16">
        <f>IF(A191="","",IF(M191=TRUE,IFERROR(I191,0),0))</f>
        <v/>
      </c>
      <c r="Q191" s="16">
        <f>IF(A191="","",IF(M191=TRUE,IFERROR(J191,0),0))</f>
        <v/>
      </c>
      <c r="R191" s="16">
        <f>IF(A191="","",IF(M191=TRUE,IFERROR(K191,0),0))</f>
        <v/>
      </c>
      <c r="S191" s="16">
        <f>IF(A191="","",IF(M191=TRUE,IFERROR(L191,0),0))</f>
        <v/>
      </c>
      <c r="T191" s="16">
        <f>IF(A191="","",IF(M191=TRUE,IFERROR(H191,0)+IFERROR(I191,0)+IFERROR(L191,0),0))</f>
        <v/>
      </c>
    </row>
    <row r="192">
      <c r="A192" s="10" t="n"/>
      <c r="B192" s="10" t="n"/>
      <c r="C192" s="11" t="n"/>
      <c r="D192" s="11" t="n"/>
      <c r="E192" s="10" t="n"/>
      <c r="F192" s="10" t="n"/>
      <c r="G192" s="12" t="n"/>
      <c r="H192" s="13" t="n"/>
      <c r="I192" s="13" t="n"/>
      <c r="J192" s="13" t="n"/>
      <c r="K192" s="13" t="n"/>
      <c r="L192" s="13" t="n"/>
      <c r="M192" s="17">
        <f>IF(A192="","",IFERROR(VLOOKUP(A192,Raw_CurrentMonth!A:O,15,FALSE)=TRUE,FALSE))</f>
        <v/>
      </c>
      <c r="N192" s="16">
        <f>IF(A192="","",IF(M192=TRUE,IFERROR(H192,0)+IFERROR(I192,0)+IFERROR(J192,0)+IFERROR(K192,0)+IFERROR(L192,0),0))</f>
        <v/>
      </c>
      <c r="O192" s="16">
        <f>IF(A192="","",IF(M192=TRUE,IFERROR(H192,0),0))</f>
        <v/>
      </c>
      <c r="P192" s="16">
        <f>IF(A192="","",IF(M192=TRUE,IFERROR(I192,0),0))</f>
        <v/>
      </c>
      <c r="Q192" s="16">
        <f>IF(A192="","",IF(M192=TRUE,IFERROR(J192,0),0))</f>
        <v/>
      </c>
      <c r="R192" s="16">
        <f>IF(A192="","",IF(M192=TRUE,IFERROR(K192,0),0))</f>
        <v/>
      </c>
      <c r="S192" s="16">
        <f>IF(A192="","",IF(M192=TRUE,IFERROR(L192,0),0))</f>
        <v/>
      </c>
      <c r="T192" s="16">
        <f>IF(A192="","",IF(M192=TRUE,IFERROR(H192,0)+IFERROR(I192,0)+IFERROR(L192,0),0))</f>
        <v/>
      </c>
    </row>
    <row r="193">
      <c r="A193" s="10" t="n"/>
      <c r="B193" s="10" t="n"/>
      <c r="C193" s="11" t="n"/>
      <c r="D193" s="11" t="n"/>
      <c r="E193" s="10" t="n"/>
      <c r="F193" s="10" t="n"/>
      <c r="G193" s="12" t="n"/>
      <c r="H193" s="13" t="n"/>
      <c r="I193" s="13" t="n"/>
      <c r="J193" s="13" t="n"/>
      <c r="K193" s="13" t="n"/>
      <c r="L193" s="13" t="n"/>
      <c r="M193" s="17">
        <f>IF(A193="","",IFERROR(VLOOKUP(A193,Raw_CurrentMonth!A:O,15,FALSE)=TRUE,FALSE))</f>
        <v/>
      </c>
      <c r="N193" s="16">
        <f>IF(A193="","",IF(M193=TRUE,IFERROR(H193,0)+IFERROR(I193,0)+IFERROR(J193,0)+IFERROR(K193,0)+IFERROR(L193,0),0))</f>
        <v/>
      </c>
      <c r="O193" s="16">
        <f>IF(A193="","",IF(M193=TRUE,IFERROR(H193,0),0))</f>
        <v/>
      </c>
      <c r="P193" s="16">
        <f>IF(A193="","",IF(M193=TRUE,IFERROR(I193,0),0))</f>
        <v/>
      </c>
      <c r="Q193" s="16">
        <f>IF(A193="","",IF(M193=TRUE,IFERROR(J193,0),0))</f>
        <v/>
      </c>
      <c r="R193" s="16">
        <f>IF(A193="","",IF(M193=TRUE,IFERROR(K193,0),0))</f>
        <v/>
      </c>
      <c r="S193" s="16">
        <f>IF(A193="","",IF(M193=TRUE,IFERROR(L193,0),0))</f>
        <v/>
      </c>
      <c r="T193" s="16">
        <f>IF(A193="","",IF(M193=TRUE,IFERROR(H193,0)+IFERROR(I193,0)+IFERROR(L193,0),0))</f>
        <v/>
      </c>
    </row>
    <row r="194">
      <c r="A194" s="10" t="n"/>
      <c r="B194" s="10" t="n"/>
      <c r="C194" s="11" t="n"/>
      <c r="D194" s="11" t="n"/>
      <c r="E194" s="10" t="n"/>
      <c r="F194" s="10" t="n"/>
      <c r="G194" s="12" t="n"/>
      <c r="H194" s="13" t="n"/>
      <c r="I194" s="13" t="n"/>
      <c r="J194" s="13" t="n"/>
      <c r="K194" s="13" t="n"/>
      <c r="L194" s="13" t="n"/>
      <c r="M194" s="17">
        <f>IF(A194="","",IFERROR(VLOOKUP(A194,Raw_CurrentMonth!A:O,15,FALSE)=TRUE,FALSE))</f>
        <v/>
      </c>
      <c r="N194" s="16">
        <f>IF(A194="","",IF(M194=TRUE,IFERROR(H194,0)+IFERROR(I194,0)+IFERROR(J194,0)+IFERROR(K194,0)+IFERROR(L194,0),0))</f>
        <v/>
      </c>
      <c r="O194" s="16">
        <f>IF(A194="","",IF(M194=TRUE,IFERROR(H194,0),0))</f>
        <v/>
      </c>
      <c r="P194" s="16">
        <f>IF(A194="","",IF(M194=TRUE,IFERROR(I194,0),0))</f>
        <v/>
      </c>
      <c r="Q194" s="16">
        <f>IF(A194="","",IF(M194=TRUE,IFERROR(J194,0),0))</f>
        <v/>
      </c>
      <c r="R194" s="16">
        <f>IF(A194="","",IF(M194=TRUE,IFERROR(K194,0),0))</f>
        <v/>
      </c>
      <c r="S194" s="16">
        <f>IF(A194="","",IF(M194=TRUE,IFERROR(L194,0),0))</f>
        <v/>
      </c>
      <c r="T194" s="16">
        <f>IF(A194="","",IF(M194=TRUE,IFERROR(H194,0)+IFERROR(I194,0)+IFERROR(L194,0),0))</f>
        <v/>
      </c>
    </row>
    <row r="195">
      <c r="A195" s="10" t="n"/>
      <c r="B195" s="10" t="n"/>
      <c r="C195" s="11" t="n"/>
      <c r="D195" s="11" t="n"/>
      <c r="E195" s="10" t="n"/>
      <c r="F195" s="10" t="n"/>
      <c r="G195" s="12" t="n"/>
      <c r="H195" s="13" t="n"/>
      <c r="I195" s="13" t="n"/>
      <c r="J195" s="13" t="n"/>
      <c r="K195" s="13" t="n"/>
      <c r="L195" s="13" t="n"/>
      <c r="M195" s="17">
        <f>IF(A195="","",IFERROR(VLOOKUP(A195,Raw_CurrentMonth!A:O,15,FALSE)=TRUE,FALSE))</f>
        <v/>
      </c>
      <c r="N195" s="16">
        <f>IF(A195="","",IF(M195=TRUE,IFERROR(H195,0)+IFERROR(I195,0)+IFERROR(J195,0)+IFERROR(K195,0)+IFERROR(L195,0),0))</f>
        <v/>
      </c>
      <c r="O195" s="16">
        <f>IF(A195="","",IF(M195=TRUE,IFERROR(H195,0),0))</f>
        <v/>
      </c>
      <c r="P195" s="16">
        <f>IF(A195="","",IF(M195=TRUE,IFERROR(I195,0),0))</f>
        <v/>
      </c>
      <c r="Q195" s="16">
        <f>IF(A195="","",IF(M195=TRUE,IFERROR(J195,0),0))</f>
        <v/>
      </c>
      <c r="R195" s="16">
        <f>IF(A195="","",IF(M195=TRUE,IFERROR(K195,0),0))</f>
        <v/>
      </c>
      <c r="S195" s="16">
        <f>IF(A195="","",IF(M195=TRUE,IFERROR(L195,0),0))</f>
        <v/>
      </c>
      <c r="T195" s="16">
        <f>IF(A195="","",IF(M195=TRUE,IFERROR(H195,0)+IFERROR(I195,0)+IFERROR(L195,0),0))</f>
        <v/>
      </c>
    </row>
    <row r="196">
      <c r="A196" s="10" t="n"/>
      <c r="B196" s="10" t="n"/>
      <c r="C196" s="11" t="n"/>
      <c r="D196" s="11" t="n"/>
      <c r="E196" s="10" t="n"/>
      <c r="F196" s="10" t="n"/>
      <c r="G196" s="12" t="n"/>
      <c r="H196" s="13" t="n"/>
      <c r="I196" s="13" t="n"/>
      <c r="J196" s="13" t="n"/>
      <c r="K196" s="13" t="n"/>
      <c r="L196" s="13" t="n"/>
      <c r="M196" s="17">
        <f>IF(A196="","",IFERROR(VLOOKUP(A196,Raw_CurrentMonth!A:O,15,FALSE)=TRUE,FALSE))</f>
        <v/>
      </c>
      <c r="N196" s="16">
        <f>IF(A196="","",IF(M196=TRUE,IFERROR(H196,0)+IFERROR(I196,0)+IFERROR(J196,0)+IFERROR(K196,0)+IFERROR(L196,0),0))</f>
        <v/>
      </c>
      <c r="O196" s="16">
        <f>IF(A196="","",IF(M196=TRUE,IFERROR(H196,0),0))</f>
        <v/>
      </c>
      <c r="P196" s="16">
        <f>IF(A196="","",IF(M196=TRUE,IFERROR(I196,0),0))</f>
        <v/>
      </c>
      <c r="Q196" s="16">
        <f>IF(A196="","",IF(M196=TRUE,IFERROR(J196,0),0))</f>
        <v/>
      </c>
      <c r="R196" s="16">
        <f>IF(A196="","",IF(M196=TRUE,IFERROR(K196,0),0))</f>
        <v/>
      </c>
      <c r="S196" s="16">
        <f>IF(A196="","",IF(M196=TRUE,IFERROR(L196,0),0))</f>
        <v/>
      </c>
      <c r="T196" s="16">
        <f>IF(A196="","",IF(M196=TRUE,IFERROR(H196,0)+IFERROR(I196,0)+IFERROR(L196,0),0))</f>
        <v/>
      </c>
    </row>
    <row r="197">
      <c r="A197" s="10" t="n"/>
      <c r="B197" s="10" t="n"/>
      <c r="C197" s="11" t="n"/>
      <c r="D197" s="11" t="n"/>
      <c r="E197" s="10" t="n"/>
      <c r="F197" s="10" t="n"/>
      <c r="G197" s="12" t="n"/>
      <c r="H197" s="13" t="n"/>
      <c r="I197" s="13" t="n"/>
      <c r="J197" s="13" t="n"/>
      <c r="K197" s="13" t="n"/>
      <c r="L197" s="13" t="n"/>
      <c r="M197" s="17">
        <f>IF(A197="","",IFERROR(VLOOKUP(A197,Raw_CurrentMonth!A:O,15,FALSE)=TRUE,FALSE))</f>
        <v/>
      </c>
      <c r="N197" s="16">
        <f>IF(A197="","",IF(M197=TRUE,IFERROR(H197,0)+IFERROR(I197,0)+IFERROR(J197,0)+IFERROR(K197,0)+IFERROR(L197,0),0))</f>
        <v/>
      </c>
      <c r="O197" s="16">
        <f>IF(A197="","",IF(M197=TRUE,IFERROR(H197,0),0))</f>
        <v/>
      </c>
      <c r="P197" s="16">
        <f>IF(A197="","",IF(M197=TRUE,IFERROR(I197,0),0))</f>
        <v/>
      </c>
      <c r="Q197" s="16">
        <f>IF(A197="","",IF(M197=TRUE,IFERROR(J197,0),0))</f>
        <v/>
      </c>
      <c r="R197" s="16">
        <f>IF(A197="","",IF(M197=TRUE,IFERROR(K197,0),0))</f>
        <v/>
      </c>
      <c r="S197" s="16">
        <f>IF(A197="","",IF(M197=TRUE,IFERROR(L197,0),0))</f>
        <v/>
      </c>
      <c r="T197" s="16">
        <f>IF(A197="","",IF(M197=TRUE,IFERROR(H197,0)+IFERROR(I197,0)+IFERROR(L197,0),0))</f>
        <v/>
      </c>
    </row>
    <row r="198">
      <c r="A198" s="10" t="n"/>
      <c r="B198" s="10" t="n"/>
      <c r="C198" s="11" t="n"/>
      <c r="D198" s="11" t="n"/>
      <c r="E198" s="10" t="n"/>
      <c r="F198" s="10" t="n"/>
      <c r="G198" s="12" t="n"/>
      <c r="H198" s="13" t="n"/>
      <c r="I198" s="13" t="n"/>
      <c r="J198" s="13" t="n"/>
      <c r="K198" s="13" t="n"/>
      <c r="L198" s="13" t="n"/>
      <c r="M198" s="17">
        <f>IF(A198="","",IFERROR(VLOOKUP(A198,Raw_CurrentMonth!A:O,15,FALSE)=TRUE,FALSE))</f>
        <v/>
      </c>
      <c r="N198" s="16">
        <f>IF(A198="","",IF(M198=TRUE,IFERROR(H198,0)+IFERROR(I198,0)+IFERROR(J198,0)+IFERROR(K198,0)+IFERROR(L198,0),0))</f>
        <v/>
      </c>
      <c r="O198" s="16">
        <f>IF(A198="","",IF(M198=TRUE,IFERROR(H198,0),0))</f>
        <v/>
      </c>
      <c r="P198" s="16">
        <f>IF(A198="","",IF(M198=TRUE,IFERROR(I198,0),0))</f>
        <v/>
      </c>
      <c r="Q198" s="16">
        <f>IF(A198="","",IF(M198=TRUE,IFERROR(J198,0),0))</f>
        <v/>
      </c>
      <c r="R198" s="16">
        <f>IF(A198="","",IF(M198=TRUE,IFERROR(K198,0),0))</f>
        <v/>
      </c>
      <c r="S198" s="16">
        <f>IF(A198="","",IF(M198=TRUE,IFERROR(L198,0),0))</f>
        <v/>
      </c>
      <c r="T198" s="16">
        <f>IF(A198="","",IF(M198=TRUE,IFERROR(H198,0)+IFERROR(I198,0)+IFERROR(L198,0),0))</f>
        <v/>
      </c>
    </row>
    <row r="199">
      <c r="A199" s="10" t="n"/>
      <c r="B199" s="10" t="n"/>
      <c r="C199" s="11" t="n"/>
      <c r="D199" s="11" t="n"/>
      <c r="E199" s="10" t="n"/>
      <c r="F199" s="10" t="n"/>
      <c r="G199" s="12" t="n"/>
      <c r="H199" s="13" t="n"/>
      <c r="I199" s="13" t="n"/>
      <c r="J199" s="13" t="n"/>
      <c r="K199" s="13" t="n"/>
      <c r="L199" s="13" t="n"/>
      <c r="M199" s="17">
        <f>IF(A199="","",IFERROR(VLOOKUP(A199,Raw_CurrentMonth!A:O,15,FALSE)=TRUE,FALSE))</f>
        <v/>
      </c>
      <c r="N199" s="16">
        <f>IF(A199="","",IF(M199=TRUE,IFERROR(H199,0)+IFERROR(I199,0)+IFERROR(J199,0)+IFERROR(K199,0)+IFERROR(L199,0),0))</f>
        <v/>
      </c>
      <c r="O199" s="16">
        <f>IF(A199="","",IF(M199=TRUE,IFERROR(H199,0),0))</f>
        <v/>
      </c>
      <c r="P199" s="16">
        <f>IF(A199="","",IF(M199=TRUE,IFERROR(I199,0),0))</f>
        <v/>
      </c>
      <c r="Q199" s="16">
        <f>IF(A199="","",IF(M199=TRUE,IFERROR(J199,0),0))</f>
        <v/>
      </c>
      <c r="R199" s="16">
        <f>IF(A199="","",IF(M199=TRUE,IFERROR(K199,0),0))</f>
        <v/>
      </c>
      <c r="S199" s="16">
        <f>IF(A199="","",IF(M199=TRUE,IFERROR(L199,0),0))</f>
        <v/>
      </c>
      <c r="T199" s="16">
        <f>IF(A199="","",IF(M199=TRUE,IFERROR(H199,0)+IFERROR(I199,0)+IFERROR(L199,0),0))</f>
        <v/>
      </c>
    </row>
    <row r="200">
      <c r="A200" s="10" t="n"/>
      <c r="B200" s="10" t="n"/>
      <c r="C200" s="11" t="n"/>
      <c r="D200" s="11" t="n"/>
      <c r="E200" s="10" t="n"/>
      <c r="F200" s="10" t="n"/>
      <c r="G200" s="12" t="n"/>
      <c r="H200" s="13" t="n"/>
      <c r="I200" s="13" t="n"/>
      <c r="J200" s="13" t="n"/>
      <c r="K200" s="13" t="n"/>
      <c r="L200" s="13" t="n"/>
      <c r="M200" s="17">
        <f>IF(A200="","",IFERROR(VLOOKUP(A200,Raw_CurrentMonth!A:O,15,FALSE)=TRUE,FALSE))</f>
        <v/>
      </c>
      <c r="N200" s="16">
        <f>IF(A200="","",IF(M200=TRUE,IFERROR(H200,0)+IFERROR(I200,0)+IFERROR(J200,0)+IFERROR(K200,0)+IFERROR(L200,0),0))</f>
        <v/>
      </c>
      <c r="O200" s="16">
        <f>IF(A200="","",IF(M200=TRUE,IFERROR(H200,0),0))</f>
        <v/>
      </c>
      <c r="P200" s="16">
        <f>IF(A200="","",IF(M200=TRUE,IFERROR(I200,0),0))</f>
        <v/>
      </c>
      <c r="Q200" s="16">
        <f>IF(A200="","",IF(M200=TRUE,IFERROR(J200,0),0))</f>
        <v/>
      </c>
      <c r="R200" s="16">
        <f>IF(A200="","",IF(M200=TRUE,IFERROR(K200,0),0))</f>
        <v/>
      </c>
      <c r="S200" s="16">
        <f>IF(A200="","",IF(M200=TRUE,IFERROR(L200,0),0))</f>
        <v/>
      </c>
      <c r="T200" s="16">
        <f>IF(A200="","",IF(M200=TRUE,IFERROR(H200,0)+IFERROR(I200,0)+IFERROR(L200,0),0))</f>
        <v/>
      </c>
    </row>
    <row r="201">
      <c r="A201" s="10" t="n"/>
      <c r="B201" s="10" t="n"/>
      <c r="C201" s="11" t="n"/>
      <c r="D201" s="11" t="n"/>
      <c r="E201" s="10" t="n"/>
      <c r="F201" s="10" t="n"/>
      <c r="G201" s="12" t="n"/>
      <c r="H201" s="13" t="n"/>
      <c r="I201" s="13" t="n"/>
      <c r="J201" s="13" t="n"/>
      <c r="K201" s="13" t="n"/>
      <c r="L201" s="13" t="n"/>
      <c r="M201" s="17">
        <f>IF(A201="","",IFERROR(VLOOKUP(A201,Raw_CurrentMonth!A:O,15,FALSE)=TRUE,FALSE))</f>
        <v/>
      </c>
      <c r="N201" s="16">
        <f>IF(A201="","",IF(M201=TRUE,IFERROR(H201,0)+IFERROR(I201,0)+IFERROR(J201,0)+IFERROR(K201,0)+IFERROR(L201,0),0))</f>
        <v/>
      </c>
      <c r="O201" s="16">
        <f>IF(A201="","",IF(M201=TRUE,IFERROR(H201,0),0))</f>
        <v/>
      </c>
      <c r="P201" s="16">
        <f>IF(A201="","",IF(M201=TRUE,IFERROR(I201,0),0))</f>
        <v/>
      </c>
      <c r="Q201" s="16">
        <f>IF(A201="","",IF(M201=TRUE,IFERROR(J201,0),0))</f>
        <v/>
      </c>
      <c r="R201" s="16">
        <f>IF(A201="","",IF(M201=TRUE,IFERROR(K201,0),0))</f>
        <v/>
      </c>
      <c r="S201" s="16">
        <f>IF(A201="","",IF(M201=TRUE,IFERROR(L201,0),0))</f>
        <v/>
      </c>
      <c r="T201" s="16">
        <f>IF(A201="","",IF(M201=TRUE,IFERROR(H201,0)+IFERROR(I201,0)+IFERROR(L201,0),0))</f>
        <v/>
      </c>
    </row>
    <row r="202">
      <c r="A202" s="10" t="n"/>
      <c r="B202" s="10" t="n"/>
      <c r="C202" s="11" t="n"/>
      <c r="D202" s="11" t="n"/>
      <c r="E202" s="10" t="n"/>
      <c r="F202" s="10" t="n"/>
      <c r="G202" s="12" t="n"/>
      <c r="H202" s="13" t="n"/>
      <c r="I202" s="13" t="n"/>
      <c r="J202" s="13" t="n"/>
      <c r="K202" s="13" t="n"/>
      <c r="L202" s="13" t="n"/>
      <c r="M202" s="17">
        <f>IF(A202="","",IFERROR(VLOOKUP(A202,Raw_CurrentMonth!A:O,15,FALSE)=TRUE,FALSE))</f>
        <v/>
      </c>
      <c r="N202" s="16">
        <f>IF(A202="","",IF(M202=TRUE,IFERROR(H202,0)+IFERROR(I202,0)+IFERROR(J202,0)+IFERROR(K202,0)+IFERROR(L202,0),0))</f>
        <v/>
      </c>
      <c r="O202" s="16">
        <f>IF(A202="","",IF(M202=TRUE,IFERROR(H202,0),0))</f>
        <v/>
      </c>
      <c r="P202" s="16">
        <f>IF(A202="","",IF(M202=TRUE,IFERROR(I202,0),0))</f>
        <v/>
      </c>
      <c r="Q202" s="16">
        <f>IF(A202="","",IF(M202=TRUE,IFERROR(J202,0),0))</f>
        <v/>
      </c>
      <c r="R202" s="16">
        <f>IF(A202="","",IF(M202=TRUE,IFERROR(K202,0),0))</f>
        <v/>
      </c>
      <c r="S202" s="16">
        <f>IF(A202="","",IF(M202=TRUE,IFERROR(L202,0),0))</f>
        <v/>
      </c>
      <c r="T202" s="16">
        <f>IF(A202="","",IF(M202=TRUE,IFERROR(H202,0)+IFERROR(I202,0)+IFERROR(L202,0),0))</f>
        <v/>
      </c>
    </row>
    <row r="203">
      <c r="A203" s="10" t="n"/>
      <c r="B203" s="10" t="n"/>
      <c r="C203" s="11" t="n"/>
      <c r="D203" s="11" t="n"/>
      <c r="E203" s="10" t="n"/>
      <c r="F203" s="10" t="n"/>
      <c r="G203" s="12" t="n"/>
      <c r="H203" s="13" t="n"/>
      <c r="I203" s="13" t="n"/>
      <c r="J203" s="13" t="n"/>
      <c r="K203" s="13" t="n"/>
      <c r="L203" s="13" t="n"/>
      <c r="M203" s="17">
        <f>IF(A203="","",IFERROR(VLOOKUP(A203,Raw_CurrentMonth!A:O,15,FALSE)=TRUE,FALSE))</f>
        <v/>
      </c>
      <c r="N203" s="16">
        <f>IF(A203="","",IF(M203=TRUE,IFERROR(H203,0)+IFERROR(I203,0)+IFERROR(J203,0)+IFERROR(K203,0)+IFERROR(L203,0),0))</f>
        <v/>
      </c>
      <c r="O203" s="16">
        <f>IF(A203="","",IF(M203=TRUE,IFERROR(H203,0),0))</f>
        <v/>
      </c>
      <c r="P203" s="16">
        <f>IF(A203="","",IF(M203=TRUE,IFERROR(I203,0),0))</f>
        <v/>
      </c>
      <c r="Q203" s="16">
        <f>IF(A203="","",IF(M203=TRUE,IFERROR(J203,0),0))</f>
        <v/>
      </c>
      <c r="R203" s="16">
        <f>IF(A203="","",IF(M203=TRUE,IFERROR(K203,0),0))</f>
        <v/>
      </c>
      <c r="S203" s="16">
        <f>IF(A203="","",IF(M203=TRUE,IFERROR(L203,0),0))</f>
        <v/>
      </c>
      <c r="T203" s="16">
        <f>IF(A203="","",IF(M203=TRUE,IFERROR(H203,0)+IFERROR(I203,0)+IFERROR(L203,0),0))</f>
        <v/>
      </c>
    </row>
    <row r="204">
      <c r="A204" s="10" t="n"/>
      <c r="B204" s="10" t="n"/>
      <c r="C204" s="11" t="n"/>
      <c r="D204" s="11" t="n"/>
      <c r="E204" s="10" t="n"/>
      <c r="F204" s="10" t="n"/>
      <c r="G204" s="12" t="n"/>
      <c r="H204" s="13" t="n"/>
      <c r="I204" s="13" t="n"/>
      <c r="J204" s="13" t="n"/>
      <c r="K204" s="13" t="n"/>
      <c r="L204" s="13" t="n"/>
      <c r="M204" s="17">
        <f>IF(A204="","",IFERROR(VLOOKUP(A204,Raw_CurrentMonth!A:O,15,FALSE)=TRUE,FALSE))</f>
        <v/>
      </c>
      <c r="N204" s="16">
        <f>IF(A204="","",IF(M204=TRUE,IFERROR(H204,0)+IFERROR(I204,0)+IFERROR(J204,0)+IFERROR(K204,0)+IFERROR(L204,0),0))</f>
        <v/>
      </c>
      <c r="O204" s="16">
        <f>IF(A204="","",IF(M204=TRUE,IFERROR(H204,0),0))</f>
        <v/>
      </c>
      <c r="P204" s="16">
        <f>IF(A204="","",IF(M204=TRUE,IFERROR(I204,0),0))</f>
        <v/>
      </c>
      <c r="Q204" s="16">
        <f>IF(A204="","",IF(M204=TRUE,IFERROR(J204,0),0))</f>
        <v/>
      </c>
      <c r="R204" s="16">
        <f>IF(A204="","",IF(M204=TRUE,IFERROR(K204,0),0))</f>
        <v/>
      </c>
      <c r="S204" s="16">
        <f>IF(A204="","",IF(M204=TRUE,IFERROR(L204,0),0))</f>
        <v/>
      </c>
      <c r="T204" s="16">
        <f>IF(A204="","",IF(M204=TRUE,IFERROR(H204,0)+IFERROR(I204,0)+IFERROR(L204,0),0))</f>
        <v/>
      </c>
    </row>
    <row r="205">
      <c r="A205" s="10" t="n"/>
      <c r="B205" s="10" t="n"/>
      <c r="C205" s="11" t="n"/>
      <c r="D205" s="11" t="n"/>
      <c r="E205" s="10" t="n"/>
      <c r="F205" s="10" t="n"/>
      <c r="G205" s="12" t="n"/>
      <c r="H205" s="13" t="n"/>
      <c r="I205" s="13" t="n"/>
      <c r="J205" s="13" t="n"/>
      <c r="K205" s="13" t="n"/>
      <c r="L205" s="13" t="n"/>
      <c r="M205" s="17">
        <f>IF(A205="","",IFERROR(VLOOKUP(A205,Raw_CurrentMonth!A:O,15,FALSE)=TRUE,FALSE))</f>
        <v/>
      </c>
      <c r="N205" s="16">
        <f>IF(A205="","",IF(M205=TRUE,IFERROR(H205,0)+IFERROR(I205,0)+IFERROR(J205,0)+IFERROR(K205,0)+IFERROR(L205,0),0))</f>
        <v/>
      </c>
      <c r="O205" s="16">
        <f>IF(A205="","",IF(M205=TRUE,IFERROR(H205,0),0))</f>
        <v/>
      </c>
      <c r="P205" s="16">
        <f>IF(A205="","",IF(M205=TRUE,IFERROR(I205,0),0))</f>
        <v/>
      </c>
      <c r="Q205" s="16">
        <f>IF(A205="","",IF(M205=TRUE,IFERROR(J205,0),0))</f>
        <v/>
      </c>
      <c r="R205" s="16">
        <f>IF(A205="","",IF(M205=TRUE,IFERROR(K205,0),0))</f>
        <v/>
      </c>
      <c r="S205" s="16">
        <f>IF(A205="","",IF(M205=TRUE,IFERROR(L205,0),0))</f>
        <v/>
      </c>
      <c r="T205" s="16">
        <f>IF(A205="","",IF(M205=TRUE,IFERROR(H205,0)+IFERROR(I205,0)+IFERROR(L205,0),0))</f>
        <v/>
      </c>
    </row>
    <row r="206">
      <c r="A206" s="10" t="n"/>
      <c r="B206" s="10" t="n"/>
      <c r="C206" s="11" t="n"/>
      <c r="D206" s="11" t="n"/>
      <c r="E206" s="10" t="n"/>
      <c r="F206" s="10" t="n"/>
      <c r="G206" s="12" t="n"/>
      <c r="H206" s="13" t="n"/>
      <c r="I206" s="13" t="n"/>
      <c r="J206" s="13" t="n"/>
      <c r="K206" s="13" t="n"/>
      <c r="L206" s="13" t="n"/>
      <c r="M206" s="17">
        <f>IF(A206="","",IFERROR(VLOOKUP(A206,Raw_CurrentMonth!A:O,15,FALSE)=TRUE,FALSE))</f>
        <v/>
      </c>
      <c r="N206" s="16">
        <f>IF(A206="","",IF(M206=TRUE,IFERROR(H206,0)+IFERROR(I206,0)+IFERROR(J206,0)+IFERROR(K206,0)+IFERROR(L206,0),0))</f>
        <v/>
      </c>
      <c r="O206" s="16">
        <f>IF(A206="","",IF(M206=TRUE,IFERROR(H206,0),0))</f>
        <v/>
      </c>
      <c r="P206" s="16">
        <f>IF(A206="","",IF(M206=TRUE,IFERROR(I206,0),0))</f>
        <v/>
      </c>
      <c r="Q206" s="16">
        <f>IF(A206="","",IF(M206=TRUE,IFERROR(J206,0),0))</f>
        <v/>
      </c>
      <c r="R206" s="16">
        <f>IF(A206="","",IF(M206=TRUE,IFERROR(K206,0),0))</f>
        <v/>
      </c>
      <c r="S206" s="16">
        <f>IF(A206="","",IF(M206=TRUE,IFERROR(L206,0),0))</f>
        <v/>
      </c>
      <c r="T206" s="16">
        <f>IF(A206="","",IF(M206=TRUE,IFERROR(H206,0)+IFERROR(I206,0)+IFERROR(L206,0),0))</f>
        <v/>
      </c>
    </row>
    <row r="207">
      <c r="A207" s="10" t="n"/>
      <c r="B207" s="10" t="n"/>
      <c r="C207" s="11" t="n"/>
      <c r="D207" s="11" t="n"/>
      <c r="E207" s="10" t="n"/>
      <c r="F207" s="10" t="n"/>
      <c r="G207" s="12" t="n"/>
      <c r="H207" s="13" t="n"/>
      <c r="I207" s="13" t="n"/>
      <c r="J207" s="13" t="n"/>
      <c r="K207" s="13" t="n"/>
      <c r="L207" s="13" t="n"/>
      <c r="M207" s="17">
        <f>IF(A207="","",IFERROR(VLOOKUP(A207,Raw_CurrentMonth!A:O,15,FALSE)=TRUE,FALSE))</f>
        <v/>
      </c>
      <c r="N207" s="16">
        <f>IF(A207="","",IF(M207=TRUE,IFERROR(H207,0)+IFERROR(I207,0)+IFERROR(J207,0)+IFERROR(K207,0)+IFERROR(L207,0),0))</f>
        <v/>
      </c>
      <c r="O207" s="16">
        <f>IF(A207="","",IF(M207=TRUE,IFERROR(H207,0),0))</f>
        <v/>
      </c>
      <c r="P207" s="16">
        <f>IF(A207="","",IF(M207=TRUE,IFERROR(I207,0),0))</f>
        <v/>
      </c>
      <c r="Q207" s="16">
        <f>IF(A207="","",IF(M207=TRUE,IFERROR(J207,0),0))</f>
        <v/>
      </c>
      <c r="R207" s="16">
        <f>IF(A207="","",IF(M207=TRUE,IFERROR(K207,0),0))</f>
        <v/>
      </c>
      <c r="S207" s="16">
        <f>IF(A207="","",IF(M207=TRUE,IFERROR(L207,0),0))</f>
        <v/>
      </c>
      <c r="T207" s="16">
        <f>IF(A207="","",IF(M207=TRUE,IFERROR(H207,0)+IFERROR(I207,0)+IFERROR(L207,0),0))</f>
        <v/>
      </c>
    </row>
    <row r="208">
      <c r="A208" s="10" t="n"/>
      <c r="B208" s="10" t="n"/>
      <c r="C208" s="11" t="n"/>
      <c r="D208" s="11" t="n"/>
      <c r="E208" s="10" t="n"/>
      <c r="F208" s="10" t="n"/>
      <c r="G208" s="12" t="n"/>
      <c r="H208" s="13" t="n"/>
      <c r="I208" s="13" t="n"/>
      <c r="J208" s="13" t="n"/>
      <c r="K208" s="13" t="n"/>
      <c r="L208" s="13" t="n"/>
      <c r="M208" s="17">
        <f>IF(A208="","",IFERROR(VLOOKUP(A208,Raw_CurrentMonth!A:O,15,FALSE)=TRUE,FALSE))</f>
        <v/>
      </c>
      <c r="N208" s="16">
        <f>IF(A208="","",IF(M208=TRUE,IFERROR(H208,0)+IFERROR(I208,0)+IFERROR(J208,0)+IFERROR(K208,0)+IFERROR(L208,0),0))</f>
        <v/>
      </c>
      <c r="O208" s="16">
        <f>IF(A208="","",IF(M208=TRUE,IFERROR(H208,0),0))</f>
        <v/>
      </c>
      <c r="P208" s="16">
        <f>IF(A208="","",IF(M208=TRUE,IFERROR(I208,0),0))</f>
        <v/>
      </c>
      <c r="Q208" s="16">
        <f>IF(A208="","",IF(M208=TRUE,IFERROR(J208,0),0))</f>
        <v/>
      </c>
      <c r="R208" s="16">
        <f>IF(A208="","",IF(M208=TRUE,IFERROR(K208,0),0))</f>
        <v/>
      </c>
      <c r="S208" s="16">
        <f>IF(A208="","",IF(M208=TRUE,IFERROR(L208,0),0))</f>
        <v/>
      </c>
      <c r="T208" s="16">
        <f>IF(A208="","",IF(M208=TRUE,IFERROR(H208,0)+IFERROR(I208,0)+IFERROR(L208,0),0))</f>
        <v/>
      </c>
    </row>
    <row r="209">
      <c r="A209" s="10" t="n"/>
      <c r="B209" s="10" t="n"/>
      <c r="C209" s="11" t="n"/>
      <c r="D209" s="11" t="n"/>
      <c r="E209" s="10" t="n"/>
      <c r="F209" s="10" t="n"/>
      <c r="G209" s="12" t="n"/>
      <c r="H209" s="13" t="n"/>
      <c r="I209" s="13" t="n"/>
      <c r="J209" s="13" t="n"/>
      <c r="K209" s="13" t="n"/>
      <c r="L209" s="13" t="n"/>
      <c r="M209" s="17">
        <f>IF(A209="","",IFERROR(VLOOKUP(A209,Raw_CurrentMonth!A:O,15,FALSE)=TRUE,FALSE))</f>
        <v/>
      </c>
      <c r="N209" s="16">
        <f>IF(A209="","",IF(M209=TRUE,IFERROR(H209,0)+IFERROR(I209,0)+IFERROR(J209,0)+IFERROR(K209,0)+IFERROR(L209,0),0))</f>
        <v/>
      </c>
      <c r="O209" s="16">
        <f>IF(A209="","",IF(M209=TRUE,IFERROR(H209,0),0))</f>
        <v/>
      </c>
      <c r="P209" s="16">
        <f>IF(A209="","",IF(M209=TRUE,IFERROR(I209,0),0))</f>
        <v/>
      </c>
      <c r="Q209" s="16">
        <f>IF(A209="","",IF(M209=TRUE,IFERROR(J209,0),0))</f>
        <v/>
      </c>
      <c r="R209" s="16">
        <f>IF(A209="","",IF(M209=TRUE,IFERROR(K209,0),0))</f>
        <v/>
      </c>
      <c r="S209" s="16">
        <f>IF(A209="","",IF(M209=TRUE,IFERROR(L209,0),0))</f>
        <v/>
      </c>
      <c r="T209" s="16">
        <f>IF(A209="","",IF(M209=TRUE,IFERROR(H209,0)+IFERROR(I209,0)+IFERROR(L209,0),0))</f>
        <v/>
      </c>
    </row>
    <row r="210">
      <c r="A210" s="10" t="n"/>
      <c r="B210" s="10" t="n"/>
      <c r="C210" s="11" t="n"/>
      <c r="D210" s="11" t="n"/>
      <c r="E210" s="10" t="n"/>
      <c r="F210" s="10" t="n"/>
      <c r="G210" s="12" t="n"/>
      <c r="H210" s="13" t="n"/>
      <c r="I210" s="13" t="n"/>
      <c r="J210" s="13" t="n"/>
      <c r="K210" s="13" t="n"/>
      <c r="L210" s="13" t="n"/>
      <c r="M210" s="17">
        <f>IF(A210="","",IFERROR(VLOOKUP(A210,Raw_CurrentMonth!A:O,15,FALSE)=TRUE,FALSE))</f>
        <v/>
      </c>
      <c r="N210" s="16">
        <f>IF(A210="","",IF(M210=TRUE,IFERROR(H210,0)+IFERROR(I210,0)+IFERROR(J210,0)+IFERROR(K210,0)+IFERROR(L210,0),0))</f>
        <v/>
      </c>
      <c r="O210" s="16">
        <f>IF(A210="","",IF(M210=TRUE,IFERROR(H210,0),0))</f>
        <v/>
      </c>
      <c r="P210" s="16">
        <f>IF(A210="","",IF(M210=TRUE,IFERROR(I210,0),0))</f>
        <v/>
      </c>
      <c r="Q210" s="16">
        <f>IF(A210="","",IF(M210=TRUE,IFERROR(J210,0),0))</f>
        <v/>
      </c>
      <c r="R210" s="16">
        <f>IF(A210="","",IF(M210=TRUE,IFERROR(K210,0),0))</f>
        <v/>
      </c>
      <c r="S210" s="16">
        <f>IF(A210="","",IF(M210=TRUE,IFERROR(L210,0),0))</f>
        <v/>
      </c>
      <c r="T210" s="16">
        <f>IF(A210="","",IF(M210=TRUE,IFERROR(H210,0)+IFERROR(I210,0)+IFERROR(L210,0),0))</f>
        <v/>
      </c>
    </row>
    <row r="211">
      <c r="A211" s="10" t="n"/>
      <c r="B211" s="10" t="n"/>
      <c r="C211" s="11" t="n"/>
      <c r="D211" s="11" t="n"/>
      <c r="E211" s="10" t="n"/>
      <c r="F211" s="10" t="n"/>
      <c r="G211" s="12" t="n"/>
      <c r="H211" s="13" t="n"/>
      <c r="I211" s="13" t="n"/>
      <c r="J211" s="13" t="n"/>
      <c r="K211" s="13" t="n"/>
      <c r="L211" s="13" t="n"/>
      <c r="M211" s="17">
        <f>IF(A211="","",IFERROR(VLOOKUP(A211,Raw_CurrentMonth!A:O,15,FALSE)=TRUE,FALSE))</f>
        <v/>
      </c>
      <c r="N211" s="16">
        <f>IF(A211="","",IF(M211=TRUE,IFERROR(H211,0)+IFERROR(I211,0)+IFERROR(J211,0)+IFERROR(K211,0)+IFERROR(L211,0),0))</f>
        <v/>
      </c>
      <c r="O211" s="16">
        <f>IF(A211="","",IF(M211=TRUE,IFERROR(H211,0),0))</f>
        <v/>
      </c>
      <c r="P211" s="16">
        <f>IF(A211="","",IF(M211=TRUE,IFERROR(I211,0),0))</f>
        <v/>
      </c>
      <c r="Q211" s="16">
        <f>IF(A211="","",IF(M211=TRUE,IFERROR(J211,0),0))</f>
        <v/>
      </c>
      <c r="R211" s="16">
        <f>IF(A211="","",IF(M211=TRUE,IFERROR(K211,0),0))</f>
        <v/>
      </c>
      <c r="S211" s="16">
        <f>IF(A211="","",IF(M211=TRUE,IFERROR(L211,0),0))</f>
        <v/>
      </c>
      <c r="T211" s="16">
        <f>IF(A211="","",IF(M211=TRUE,IFERROR(H211,0)+IFERROR(I211,0)+IFERROR(L211,0),0))</f>
        <v/>
      </c>
    </row>
    <row r="212">
      <c r="A212" s="10" t="n"/>
      <c r="B212" s="10" t="n"/>
      <c r="C212" s="11" t="n"/>
      <c r="D212" s="11" t="n"/>
      <c r="E212" s="10" t="n"/>
      <c r="F212" s="10" t="n"/>
      <c r="G212" s="12" t="n"/>
      <c r="H212" s="13" t="n"/>
      <c r="I212" s="13" t="n"/>
      <c r="J212" s="13" t="n"/>
      <c r="K212" s="13" t="n"/>
      <c r="L212" s="13" t="n"/>
      <c r="M212" s="17">
        <f>IF(A212="","",IFERROR(VLOOKUP(A212,Raw_CurrentMonth!A:O,15,FALSE)=TRUE,FALSE))</f>
        <v/>
      </c>
      <c r="N212" s="16">
        <f>IF(A212="","",IF(M212=TRUE,IFERROR(H212,0)+IFERROR(I212,0)+IFERROR(J212,0)+IFERROR(K212,0)+IFERROR(L212,0),0))</f>
        <v/>
      </c>
      <c r="O212" s="16">
        <f>IF(A212="","",IF(M212=TRUE,IFERROR(H212,0),0))</f>
        <v/>
      </c>
      <c r="P212" s="16">
        <f>IF(A212="","",IF(M212=TRUE,IFERROR(I212,0),0))</f>
        <v/>
      </c>
      <c r="Q212" s="16">
        <f>IF(A212="","",IF(M212=TRUE,IFERROR(J212,0),0))</f>
        <v/>
      </c>
      <c r="R212" s="16">
        <f>IF(A212="","",IF(M212=TRUE,IFERROR(K212,0),0))</f>
        <v/>
      </c>
      <c r="S212" s="16">
        <f>IF(A212="","",IF(M212=TRUE,IFERROR(L212,0),0))</f>
        <v/>
      </c>
      <c r="T212" s="16">
        <f>IF(A212="","",IF(M212=TRUE,IFERROR(H212,0)+IFERROR(I212,0)+IFERROR(L212,0),0))</f>
        <v/>
      </c>
    </row>
    <row r="213">
      <c r="A213" s="10" t="n"/>
      <c r="B213" s="10" t="n"/>
      <c r="C213" s="11" t="n"/>
      <c r="D213" s="11" t="n"/>
      <c r="E213" s="10" t="n"/>
      <c r="F213" s="10" t="n"/>
      <c r="G213" s="12" t="n"/>
      <c r="H213" s="13" t="n"/>
      <c r="I213" s="13" t="n"/>
      <c r="J213" s="13" t="n"/>
      <c r="K213" s="13" t="n"/>
      <c r="L213" s="13" t="n"/>
      <c r="M213" s="17">
        <f>IF(A213="","",IFERROR(VLOOKUP(A213,Raw_CurrentMonth!A:O,15,FALSE)=TRUE,FALSE))</f>
        <v/>
      </c>
      <c r="N213" s="16">
        <f>IF(A213="","",IF(M213=TRUE,IFERROR(H213,0)+IFERROR(I213,0)+IFERROR(J213,0)+IFERROR(K213,0)+IFERROR(L213,0),0))</f>
        <v/>
      </c>
      <c r="O213" s="16">
        <f>IF(A213="","",IF(M213=TRUE,IFERROR(H213,0),0))</f>
        <v/>
      </c>
      <c r="P213" s="16">
        <f>IF(A213="","",IF(M213=TRUE,IFERROR(I213,0),0))</f>
        <v/>
      </c>
      <c r="Q213" s="16">
        <f>IF(A213="","",IF(M213=TRUE,IFERROR(J213,0),0))</f>
        <v/>
      </c>
      <c r="R213" s="16">
        <f>IF(A213="","",IF(M213=TRUE,IFERROR(K213,0),0))</f>
        <v/>
      </c>
      <c r="S213" s="16">
        <f>IF(A213="","",IF(M213=TRUE,IFERROR(L213,0),0))</f>
        <v/>
      </c>
      <c r="T213" s="16">
        <f>IF(A213="","",IF(M213=TRUE,IFERROR(H213,0)+IFERROR(I213,0)+IFERROR(L213,0),0))</f>
        <v/>
      </c>
    </row>
    <row r="214">
      <c r="A214" s="10" t="n"/>
      <c r="B214" s="10" t="n"/>
      <c r="C214" s="11" t="n"/>
      <c r="D214" s="11" t="n"/>
      <c r="E214" s="10" t="n"/>
      <c r="F214" s="10" t="n"/>
      <c r="G214" s="12" t="n"/>
      <c r="H214" s="13" t="n"/>
      <c r="I214" s="13" t="n"/>
      <c r="J214" s="13" t="n"/>
      <c r="K214" s="13" t="n"/>
      <c r="L214" s="13" t="n"/>
      <c r="M214" s="17">
        <f>IF(A214="","",IFERROR(VLOOKUP(A214,Raw_CurrentMonth!A:O,15,FALSE)=TRUE,FALSE))</f>
        <v/>
      </c>
      <c r="N214" s="16">
        <f>IF(A214="","",IF(M214=TRUE,IFERROR(H214,0)+IFERROR(I214,0)+IFERROR(J214,0)+IFERROR(K214,0)+IFERROR(L214,0),0))</f>
        <v/>
      </c>
      <c r="O214" s="16">
        <f>IF(A214="","",IF(M214=TRUE,IFERROR(H214,0),0))</f>
        <v/>
      </c>
      <c r="P214" s="16">
        <f>IF(A214="","",IF(M214=TRUE,IFERROR(I214,0),0))</f>
        <v/>
      </c>
      <c r="Q214" s="16">
        <f>IF(A214="","",IF(M214=TRUE,IFERROR(J214,0),0))</f>
        <v/>
      </c>
      <c r="R214" s="16">
        <f>IF(A214="","",IF(M214=TRUE,IFERROR(K214,0),0))</f>
        <v/>
      </c>
      <c r="S214" s="16">
        <f>IF(A214="","",IF(M214=TRUE,IFERROR(L214,0),0))</f>
        <v/>
      </c>
      <c r="T214" s="16">
        <f>IF(A214="","",IF(M214=TRUE,IFERROR(H214,0)+IFERROR(I214,0)+IFERROR(L214,0),0))</f>
        <v/>
      </c>
    </row>
    <row r="215">
      <c r="A215" s="10" t="n"/>
      <c r="B215" s="10" t="n"/>
      <c r="C215" s="11" t="n"/>
      <c r="D215" s="11" t="n"/>
      <c r="E215" s="10" t="n"/>
      <c r="F215" s="10" t="n"/>
      <c r="G215" s="12" t="n"/>
      <c r="H215" s="13" t="n"/>
      <c r="I215" s="13" t="n"/>
      <c r="J215" s="13" t="n"/>
      <c r="K215" s="13" t="n"/>
      <c r="L215" s="13" t="n"/>
      <c r="M215" s="17">
        <f>IF(A215="","",IFERROR(VLOOKUP(A215,Raw_CurrentMonth!A:O,15,FALSE)=TRUE,FALSE))</f>
        <v/>
      </c>
      <c r="N215" s="16">
        <f>IF(A215="","",IF(M215=TRUE,IFERROR(H215,0)+IFERROR(I215,0)+IFERROR(J215,0)+IFERROR(K215,0)+IFERROR(L215,0),0))</f>
        <v/>
      </c>
      <c r="O215" s="16">
        <f>IF(A215="","",IF(M215=TRUE,IFERROR(H215,0),0))</f>
        <v/>
      </c>
      <c r="P215" s="16">
        <f>IF(A215="","",IF(M215=TRUE,IFERROR(I215,0),0))</f>
        <v/>
      </c>
      <c r="Q215" s="16">
        <f>IF(A215="","",IF(M215=TRUE,IFERROR(J215,0),0))</f>
        <v/>
      </c>
      <c r="R215" s="16">
        <f>IF(A215="","",IF(M215=TRUE,IFERROR(K215,0),0))</f>
        <v/>
      </c>
      <c r="S215" s="16">
        <f>IF(A215="","",IF(M215=TRUE,IFERROR(L215,0),0))</f>
        <v/>
      </c>
      <c r="T215" s="16">
        <f>IF(A215="","",IF(M215=TRUE,IFERROR(H215,0)+IFERROR(I215,0)+IFERROR(L215,0),0))</f>
        <v/>
      </c>
    </row>
    <row r="216">
      <c r="A216" s="10" t="n"/>
      <c r="B216" s="10" t="n"/>
      <c r="C216" s="11" t="n"/>
      <c r="D216" s="11" t="n"/>
      <c r="E216" s="10" t="n"/>
      <c r="F216" s="10" t="n"/>
      <c r="G216" s="12" t="n"/>
      <c r="H216" s="13" t="n"/>
      <c r="I216" s="13" t="n"/>
      <c r="J216" s="13" t="n"/>
      <c r="K216" s="13" t="n"/>
      <c r="L216" s="13" t="n"/>
      <c r="M216" s="17">
        <f>IF(A216="","",IFERROR(VLOOKUP(A216,Raw_CurrentMonth!A:O,15,FALSE)=TRUE,FALSE))</f>
        <v/>
      </c>
      <c r="N216" s="16">
        <f>IF(A216="","",IF(M216=TRUE,IFERROR(H216,0)+IFERROR(I216,0)+IFERROR(J216,0)+IFERROR(K216,0)+IFERROR(L216,0),0))</f>
        <v/>
      </c>
      <c r="O216" s="16">
        <f>IF(A216="","",IF(M216=TRUE,IFERROR(H216,0),0))</f>
        <v/>
      </c>
      <c r="P216" s="16">
        <f>IF(A216="","",IF(M216=TRUE,IFERROR(I216,0),0))</f>
        <v/>
      </c>
      <c r="Q216" s="16">
        <f>IF(A216="","",IF(M216=TRUE,IFERROR(J216,0),0))</f>
        <v/>
      </c>
      <c r="R216" s="16">
        <f>IF(A216="","",IF(M216=TRUE,IFERROR(K216,0),0))</f>
        <v/>
      </c>
      <c r="S216" s="16">
        <f>IF(A216="","",IF(M216=TRUE,IFERROR(L216,0),0))</f>
        <v/>
      </c>
      <c r="T216" s="16">
        <f>IF(A216="","",IF(M216=TRUE,IFERROR(H216,0)+IFERROR(I216,0)+IFERROR(L216,0),0))</f>
        <v/>
      </c>
    </row>
    <row r="217">
      <c r="A217" s="10" t="n"/>
      <c r="B217" s="10" t="n"/>
      <c r="C217" s="11" t="n"/>
      <c r="D217" s="11" t="n"/>
      <c r="E217" s="10" t="n"/>
      <c r="F217" s="10" t="n"/>
      <c r="G217" s="12" t="n"/>
      <c r="H217" s="13" t="n"/>
      <c r="I217" s="13" t="n"/>
      <c r="J217" s="13" t="n"/>
      <c r="K217" s="13" t="n"/>
      <c r="L217" s="13" t="n"/>
      <c r="M217" s="17">
        <f>IF(A217="","",IFERROR(VLOOKUP(A217,Raw_CurrentMonth!A:O,15,FALSE)=TRUE,FALSE))</f>
        <v/>
      </c>
      <c r="N217" s="16">
        <f>IF(A217="","",IF(M217=TRUE,IFERROR(H217,0)+IFERROR(I217,0)+IFERROR(J217,0)+IFERROR(K217,0)+IFERROR(L217,0),0))</f>
        <v/>
      </c>
      <c r="O217" s="16">
        <f>IF(A217="","",IF(M217=TRUE,IFERROR(H217,0),0))</f>
        <v/>
      </c>
      <c r="P217" s="16">
        <f>IF(A217="","",IF(M217=TRUE,IFERROR(I217,0),0))</f>
        <v/>
      </c>
      <c r="Q217" s="16">
        <f>IF(A217="","",IF(M217=TRUE,IFERROR(J217,0),0))</f>
        <v/>
      </c>
      <c r="R217" s="16">
        <f>IF(A217="","",IF(M217=TRUE,IFERROR(K217,0),0))</f>
        <v/>
      </c>
      <c r="S217" s="16">
        <f>IF(A217="","",IF(M217=TRUE,IFERROR(L217,0),0))</f>
        <v/>
      </c>
      <c r="T217" s="16">
        <f>IF(A217="","",IF(M217=TRUE,IFERROR(H217,0)+IFERROR(I217,0)+IFERROR(L217,0),0))</f>
        <v/>
      </c>
    </row>
    <row r="218">
      <c r="A218" s="10" t="n"/>
      <c r="B218" s="10" t="n"/>
      <c r="C218" s="11" t="n"/>
      <c r="D218" s="11" t="n"/>
      <c r="E218" s="10" t="n"/>
      <c r="F218" s="10" t="n"/>
      <c r="G218" s="12" t="n"/>
      <c r="H218" s="13" t="n"/>
      <c r="I218" s="13" t="n"/>
      <c r="J218" s="13" t="n"/>
      <c r="K218" s="13" t="n"/>
      <c r="L218" s="13" t="n"/>
      <c r="M218" s="17">
        <f>IF(A218="","",IFERROR(VLOOKUP(A218,Raw_CurrentMonth!A:O,15,FALSE)=TRUE,FALSE))</f>
        <v/>
      </c>
      <c r="N218" s="16">
        <f>IF(A218="","",IF(M218=TRUE,IFERROR(H218,0)+IFERROR(I218,0)+IFERROR(J218,0)+IFERROR(K218,0)+IFERROR(L218,0),0))</f>
        <v/>
      </c>
      <c r="O218" s="16">
        <f>IF(A218="","",IF(M218=TRUE,IFERROR(H218,0),0))</f>
        <v/>
      </c>
      <c r="P218" s="16">
        <f>IF(A218="","",IF(M218=TRUE,IFERROR(I218,0),0))</f>
        <v/>
      </c>
      <c r="Q218" s="16">
        <f>IF(A218="","",IF(M218=TRUE,IFERROR(J218,0),0))</f>
        <v/>
      </c>
      <c r="R218" s="16">
        <f>IF(A218="","",IF(M218=TRUE,IFERROR(K218,0),0))</f>
        <v/>
      </c>
      <c r="S218" s="16">
        <f>IF(A218="","",IF(M218=TRUE,IFERROR(L218,0),0))</f>
        <v/>
      </c>
      <c r="T218" s="16">
        <f>IF(A218="","",IF(M218=TRUE,IFERROR(H218,0)+IFERROR(I218,0)+IFERROR(L218,0),0))</f>
        <v/>
      </c>
    </row>
    <row r="219">
      <c r="A219" s="10" t="n"/>
      <c r="B219" s="10" t="n"/>
      <c r="C219" s="11" t="n"/>
      <c r="D219" s="11" t="n"/>
      <c r="E219" s="10" t="n"/>
      <c r="F219" s="10" t="n"/>
      <c r="G219" s="12" t="n"/>
      <c r="H219" s="13" t="n"/>
      <c r="I219" s="13" t="n"/>
      <c r="J219" s="13" t="n"/>
      <c r="K219" s="13" t="n"/>
      <c r="L219" s="13" t="n"/>
      <c r="M219" s="17">
        <f>IF(A219="","",IFERROR(VLOOKUP(A219,Raw_CurrentMonth!A:O,15,FALSE)=TRUE,FALSE))</f>
        <v/>
      </c>
      <c r="N219" s="16">
        <f>IF(A219="","",IF(M219=TRUE,IFERROR(H219,0)+IFERROR(I219,0)+IFERROR(J219,0)+IFERROR(K219,0)+IFERROR(L219,0),0))</f>
        <v/>
      </c>
      <c r="O219" s="16">
        <f>IF(A219="","",IF(M219=TRUE,IFERROR(H219,0),0))</f>
        <v/>
      </c>
      <c r="P219" s="16">
        <f>IF(A219="","",IF(M219=TRUE,IFERROR(I219,0),0))</f>
        <v/>
      </c>
      <c r="Q219" s="16">
        <f>IF(A219="","",IF(M219=TRUE,IFERROR(J219,0),0))</f>
        <v/>
      </c>
      <c r="R219" s="16">
        <f>IF(A219="","",IF(M219=TRUE,IFERROR(K219,0),0))</f>
        <v/>
      </c>
      <c r="S219" s="16">
        <f>IF(A219="","",IF(M219=TRUE,IFERROR(L219,0),0))</f>
        <v/>
      </c>
      <c r="T219" s="16">
        <f>IF(A219="","",IF(M219=TRUE,IFERROR(H219,0)+IFERROR(I219,0)+IFERROR(L219,0),0))</f>
        <v/>
      </c>
    </row>
    <row r="220">
      <c r="A220" s="10" t="n"/>
      <c r="B220" s="10" t="n"/>
      <c r="C220" s="11" t="n"/>
      <c r="D220" s="11" t="n"/>
      <c r="E220" s="10" t="n"/>
      <c r="F220" s="10" t="n"/>
      <c r="G220" s="12" t="n"/>
      <c r="H220" s="13" t="n"/>
      <c r="I220" s="13" t="n"/>
      <c r="J220" s="13" t="n"/>
      <c r="K220" s="13" t="n"/>
      <c r="L220" s="13" t="n"/>
      <c r="M220" s="17">
        <f>IF(A220="","",IFERROR(VLOOKUP(A220,Raw_CurrentMonth!A:O,15,FALSE)=TRUE,FALSE))</f>
        <v/>
      </c>
      <c r="N220" s="16">
        <f>IF(A220="","",IF(M220=TRUE,IFERROR(H220,0)+IFERROR(I220,0)+IFERROR(J220,0)+IFERROR(K220,0)+IFERROR(L220,0),0))</f>
        <v/>
      </c>
      <c r="O220" s="16">
        <f>IF(A220="","",IF(M220=TRUE,IFERROR(H220,0),0))</f>
        <v/>
      </c>
      <c r="P220" s="16">
        <f>IF(A220="","",IF(M220=TRUE,IFERROR(I220,0),0))</f>
        <v/>
      </c>
      <c r="Q220" s="16">
        <f>IF(A220="","",IF(M220=TRUE,IFERROR(J220,0),0))</f>
        <v/>
      </c>
      <c r="R220" s="16">
        <f>IF(A220="","",IF(M220=TRUE,IFERROR(K220,0),0))</f>
        <v/>
      </c>
      <c r="S220" s="16">
        <f>IF(A220="","",IF(M220=TRUE,IFERROR(L220,0),0))</f>
        <v/>
      </c>
      <c r="T220" s="16">
        <f>IF(A220="","",IF(M220=TRUE,IFERROR(H220,0)+IFERROR(I220,0)+IFERROR(L220,0),0))</f>
        <v/>
      </c>
    </row>
    <row r="221">
      <c r="A221" s="10" t="n"/>
      <c r="B221" s="10" t="n"/>
      <c r="C221" s="11" t="n"/>
      <c r="D221" s="11" t="n"/>
      <c r="E221" s="10" t="n"/>
      <c r="F221" s="10" t="n"/>
      <c r="G221" s="12" t="n"/>
      <c r="H221" s="13" t="n"/>
      <c r="I221" s="13" t="n"/>
      <c r="J221" s="13" t="n"/>
      <c r="K221" s="13" t="n"/>
      <c r="L221" s="13" t="n"/>
      <c r="M221" s="17">
        <f>IF(A221="","",IFERROR(VLOOKUP(A221,Raw_CurrentMonth!A:O,15,FALSE)=TRUE,FALSE))</f>
        <v/>
      </c>
      <c r="N221" s="16">
        <f>IF(A221="","",IF(M221=TRUE,IFERROR(H221,0)+IFERROR(I221,0)+IFERROR(J221,0)+IFERROR(K221,0)+IFERROR(L221,0),0))</f>
        <v/>
      </c>
      <c r="O221" s="16">
        <f>IF(A221="","",IF(M221=TRUE,IFERROR(H221,0),0))</f>
        <v/>
      </c>
      <c r="P221" s="16">
        <f>IF(A221="","",IF(M221=TRUE,IFERROR(I221,0),0))</f>
        <v/>
      </c>
      <c r="Q221" s="16">
        <f>IF(A221="","",IF(M221=TRUE,IFERROR(J221,0),0))</f>
        <v/>
      </c>
      <c r="R221" s="16">
        <f>IF(A221="","",IF(M221=TRUE,IFERROR(K221,0),0))</f>
        <v/>
      </c>
      <c r="S221" s="16">
        <f>IF(A221="","",IF(M221=TRUE,IFERROR(L221,0),0))</f>
        <v/>
      </c>
      <c r="T221" s="16">
        <f>IF(A221="","",IF(M221=TRUE,IFERROR(H221,0)+IFERROR(I221,0)+IFERROR(L221,0),0))</f>
        <v/>
      </c>
    </row>
    <row r="222">
      <c r="A222" s="10" t="n"/>
      <c r="B222" s="10" t="n"/>
      <c r="C222" s="11" t="n"/>
      <c r="D222" s="11" t="n"/>
      <c r="E222" s="10" t="n"/>
      <c r="F222" s="10" t="n"/>
      <c r="G222" s="12" t="n"/>
      <c r="H222" s="13" t="n"/>
      <c r="I222" s="13" t="n"/>
      <c r="J222" s="13" t="n"/>
      <c r="K222" s="13" t="n"/>
      <c r="L222" s="13" t="n"/>
      <c r="M222" s="17">
        <f>IF(A222="","",IFERROR(VLOOKUP(A222,Raw_CurrentMonth!A:O,15,FALSE)=TRUE,FALSE))</f>
        <v/>
      </c>
      <c r="N222" s="16">
        <f>IF(A222="","",IF(M222=TRUE,IFERROR(H222,0)+IFERROR(I222,0)+IFERROR(J222,0)+IFERROR(K222,0)+IFERROR(L222,0),0))</f>
        <v/>
      </c>
      <c r="O222" s="16">
        <f>IF(A222="","",IF(M222=TRUE,IFERROR(H222,0),0))</f>
        <v/>
      </c>
      <c r="P222" s="16">
        <f>IF(A222="","",IF(M222=TRUE,IFERROR(I222,0),0))</f>
        <v/>
      </c>
      <c r="Q222" s="16">
        <f>IF(A222="","",IF(M222=TRUE,IFERROR(J222,0),0))</f>
        <v/>
      </c>
      <c r="R222" s="16">
        <f>IF(A222="","",IF(M222=TRUE,IFERROR(K222,0),0))</f>
        <v/>
      </c>
      <c r="S222" s="16">
        <f>IF(A222="","",IF(M222=TRUE,IFERROR(L222,0),0))</f>
        <v/>
      </c>
      <c r="T222" s="16">
        <f>IF(A222="","",IF(M222=TRUE,IFERROR(H222,0)+IFERROR(I222,0)+IFERROR(L222,0),0))</f>
        <v/>
      </c>
    </row>
    <row r="223">
      <c r="A223" s="10" t="n"/>
      <c r="B223" s="10" t="n"/>
      <c r="C223" s="11" t="n"/>
      <c r="D223" s="11" t="n"/>
      <c r="E223" s="10" t="n"/>
      <c r="F223" s="10" t="n"/>
      <c r="G223" s="12" t="n"/>
      <c r="H223" s="13" t="n"/>
      <c r="I223" s="13" t="n"/>
      <c r="J223" s="13" t="n"/>
      <c r="K223" s="13" t="n"/>
      <c r="L223" s="13" t="n"/>
      <c r="M223" s="17">
        <f>IF(A223="","",IFERROR(VLOOKUP(A223,Raw_CurrentMonth!A:O,15,FALSE)=TRUE,FALSE))</f>
        <v/>
      </c>
      <c r="N223" s="16">
        <f>IF(A223="","",IF(M223=TRUE,IFERROR(H223,0)+IFERROR(I223,0)+IFERROR(J223,0)+IFERROR(K223,0)+IFERROR(L223,0),0))</f>
        <v/>
      </c>
      <c r="O223" s="16">
        <f>IF(A223="","",IF(M223=TRUE,IFERROR(H223,0),0))</f>
        <v/>
      </c>
      <c r="P223" s="16">
        <f>IF(A223="","",IF(M223=TRUE,IFERROR(I223,0),0))</f>
        <v/>
      </c>
      <c r="Q223" s="16">
        <f>IF(A223="","",IF(M223=TRUE,IFERROR(J223,0),0))</f>
        <v/>
      </c>
      <c r="R223" s="16">
        <f>IF(A223="","",IF(M223=TRUE,IFERROR(K223,0),0))</f>
        <v/>
      </c>
      <c r="S223" s="16">
        <f>IF(A223="","",IF(M223=TRUE,IFERROR(L223,0),0))</f>
        <v/>
      </c>
      <c r="T223" s="16">
        <f>IF(A223="","",IF(M223=TRUE,IFERROR(H223,0)+IFERROR(I223,0)+IFERROR(L223,0),0))</f>
        <v/>
      </c>
    </row>
    <row r="224">
      <c r="A224" s="10" t="n"/>
      <c r="B224" s="10" t="n"/>
      <c r="C224" s="11" t="n"/>
      <c r="D224" s="11" t="n"/>
      <c r="E224" s="10" t="n"/>
      <c r="F224" s="10" t="n"/>
      <c r="G224" s="12" t="n"/>
      <c r="H224" s="13" t="n"/>
      <c r="I224" s="13" t="n"/>
      <c r="J224" s="13" t="n"/>
      <c r="K224" s="13" t="n"/>
      <c r="L224" s="13" t="n"/>
      <c r="M224" s="17">
        <f>IF(A224="","",IFERROR(VLOOKUP(A224,Raw_CurrentMonth!A:O,15,FALSE)=TRUE,FALSE))</f>
        <v/>
      </c>
      <c r="N224" s="16">
        <f>IF(A224="","",IF(M224=TRUE,IFERROR(H224,0)+IFERROR(I224,0)+IFERROR(J224,0)+IFERROR(K224,0)+IFERROR(L224,0),0))</f>
        <v/>
      </c>
      <c r="O224" s="16">
        <f>IF(A224="","",IF(M224=TRUE,IFERROR(H224,0),0))</f>
        <v/>
      </c>
      <c r="P224" s="16">
        <f>IF(A224="","",IF(M224=TRUE,IFERROR(I224,0),0))</f>
        <v/>
      </c>
      <c r="Q224" s="16">
        <f>IF(A224="","",IF(M224=TRUE,IFERROR(J224,0),0))</f>
        <v/>
      </c>
      <c r="R224" s="16">
        <f>IF(A224="","",IF(M224=TRUE,IFERROR(K224,0),0))</f>
        <v/>
      </c>
      <c r="S224" s="16">
        <f>IF(A224="","",IF(M224=TRUE,IFERROR(L224,0),0))</f>
        <v/>
      </c>
      <c r="T224" s="16">
        <f>IF(A224="","",IF(M224=TRUE,IFERROR(H224,0)+IFERROR(I224,0)+IFERROR(L224,0),0))</f>
        <v/>
      </c>
    </row>
    <row r="225">
      <c r="A225" s="10" t="n"/>
      <c r="B225" s="10" t="n"/>
      <c r="C225" s="11" t="n"/>
      <c r="D225" s="11" t="n"/>
      <c r="E225" s="10" t="n"/>
      <c r="F225" s="10" t="n"/>
      <c r="G225" s="12" t="n"/>
      <c r="H225" s="13" t="n"/>
      <c r="I225" s="13" t="n"/>
      <c r="J225" s="13" t="n"/>
      <c r="K225" s="13" t="n"/>
      <c r="L225" s="13" t="n"/>
      <c r="M225" s="17">
        <f>IF(A225="","",IFERROR(VLOOKUP(A225,Raw_CurrentMonth!A:O,15,FALSE)=TRUE,FALSE))</f>
        <v/>
      </c>
      <c r="N225" s="16">
        <f>IF(A225="","",IF(M225=TRUE,IFERROR(H225,0)+IFERROR(I225,0)+IFERROR(J225,0)+IFERROR(K225,0)+IFERROR(L225,0),0))</f>
        <v/>
      </c>
      <c r="O225" s="16">
        <f>IF(A225="","",IF(M225=TRUE,IFERROR(H225,0),0))</f>
        <v/>
      </c>
      <c r="P225" s="16">
        <f>IF(A225="","",IF(M225=TRUE,IFERROR(I225,0),0))</f>
        <v/>
      </c>
      <c r="Q225" s="16">
        <f>IF(A225="","",IF(M225=TRUE,IFERROR(J225,0),0))</f>
        <v/>
      </c>
      <c r="R225" s="16">
        <f>IF(A225="","",IF(M225=TRUE,IFERROR(K225,0),0))</f>
        <v/>
      </c>
      <c r="S225" s="16">
        <f>IF(A225="","",IF(M225=TRUE,IFERROR(L225,0),0))</f>
        <v/>
      </c>
      <c r="T225" s="16">
        <f>IF(A225="","",IF(M225=TRUE,IFERROR(H225,0)+IFERROR(I225,0)+IFERROR(L225,0),0))</f>
        <v/>
      </c>
    </row>
    <row r="226">
      <c r="A226" s="10" t="n"/>
      <c r="B226" s="10" t="n"/>
      <c r="C226" s="11" t="n"/>
      <c r="D226" s="11" t="n"/>
      <c r="E226" s="10" t="n"/>
      <c r="F226" s="10" t="n"/>
      <c r="G226" s="12" t="n"/>
      <c r="H226" s="13" t="n"/>
      <c r="I226" s="13" t="n"/>
      <c r="J226" s="13" t="n"/>
      <c r="K226" s="13" t="n"/>
      <c r="L226" s="13" t="n"/>
      <c r="M226" s="17">
        <f>IF(A226="","",IFERROR(VLOOKUP(A226,Raw_CurrentMonth!A:O,15,FALSE)=TRUE,FALSE))</f>
        <v/>
      </c>
      <c r="N226" s="16">
        <f>IF(A226="","",IF(M226=TRUE,IFERROR(H226,0)+IFERROR(I226,0)+IFERROR(J226,0)+IFERROR(K226,0)+IFERROR(L226,0),0))</f>
        <v/>
      </c>
      <c r="O226" s="16">
        <f>IF(A226="","",IF(M226=TRUE,IFERROR(H226,0),0))</f>
        <v/>
      </c>
      <c r="P226" s="16">
        <f>IF(A226="","",IF(M226=TRUE,IFERROR(I226,0),0))</f>
        <v/>
      </c>
      <c r="Q226" s="16">
        <f>IF(A226="","",IF(M226=TRUE,IFERROR(J226,0),0))</f>
        <v/>
      </c>
      <c r="R226" s="16">
        <f>IF(A226="","",IF(M226=TRUE,IFERROR(K226,0),0))</f>
        <v/>
      </c>
      <c r="S226" s="16">
        <f>IF(A226="","",IF(M226=TRUE,IFERROR(L226,0),0))</f>
        <v/>
      </c>
      <c r="T226" s="16">
        <f>IF(A226="","",IF(M226=TRUE,IFERROR(H226,0)+IFERROR(I226,0)+IFERROR(L226,0),0))</f>
        <v/>
      </c>
    </row>
    <row r="227">
      <c r="A227" s="10" t="n"/>
      <c r="B227" s="10" t="n"/>
      <c r="C227" s="11" t="n"/>
      <c r="D227" s="11" t="n"/>
      <c r="E227" s="10" t="n"/>
      <c r="F227" s="10" t="n"/>
      <c r="G227" s="12" t="n"/>
      <c r="H227" s="13" t="n"/>
      <c r="I227" s="13" t="n"/>
      <c r="J227" s="13" t="n"/>
      <c r="K227" s="13" t="n"/>
      <c r="L227" s="13" t="n"/>
      <c r="M227" s="17">
        <f>IF(A227="","",IFERROR(VLOOKUP(A227,Raw_CurrentMonth!A:O,15,FALSE)=TRUE,FALSE))</f>
        <v/>
      </c>
      <c r="N227" s="16">
        <f>IF(A227="","",IF(M227=TRUE,IFERROR(H227,0)+IFERROR(I227,0)+IFERROR(J227,0)+IFERROR(K227,0)+IFERROR(L227,0),0))</f>
        <v/>
      </c>
      <c r="O227" s="16">
        <f>IF(A227="","",IF(M227=TRUE,IFERROR(H227,0),0))</f>
        <v/>
      </c>
      <c r="P227" s="16">
        <f>IF(A227="","",IF(M227=TRUE,IFERROR(I227,0),0))</f>
        <v/>
      </c>
      <c r="Q227" s="16">
        <f>IF(A227="","",IF(M227=TRUE,IFERROR(J227,0),0))</f>
        <v/>
      </c>
      <c r="R227" s="16">
        <f>IF(A227="","",IF(M227=TRUE,IFERROR(K227,0),0))</f>
        <v/>
      </c>
      <c r="S227" s="16">
        <f>IF(A227="","",IF(M227=TRUE,IFERROR(L227,0),0))</f>
        <v/>
      </c>
      <c r="T227" s="16">
        <f>IF(A227="","",IF(M227=TRUE,IFERROR(H227,0)+IFERROR(I227,0)+IFERROR(L227,0),0))</f>
        <v/>
      </c>
    </row>
    <row r="228">
      <c r="A228" s="10" t="n"/>
      <c r="B228" s="10" t="n"/>
      <c r="C228" s="11" t="n"/>
      <c r="D228" s="11" t="n"/>
      <c r="E228" s="10" t="n"/>
      <c r="F228" s="10" t="n"/>
      <c r="G228" s="12" t="n"/>
      <c r="H228" s="13" t="n"/>
      <c r="I228" s="13" t="n"/>
      <c r="J228" s="13" t="n"/>
      <c r="K228" s="13" t="n"/>
      <c r="L228" s="13" t="n"/>
      <c r="M228" s="17">
        <f>IF(A228="","",IFERROR(VLOOKUP(A228,Raw_CurrentMonth!A:O,15,FALSE)=TRUE,FALSE))</f>
        <v/>
      </c>
      <c r="N228" s="16">
        <f>IF(A228="","",IF(M228=TRUE,IFERROR(H228,0)+IFERROR(I228,0)+IFERROR(J228,0)+IFERROR(K228,0)+IFERROR(L228,0),0))</f>
        <v/>
      </c>
      <c r="O228" s="16">
        <f>IF(A228="","",IF(M228=TRUE,IFERROR(H228,0),0))</f>
        <v/>
      </c>
      <c r="P228" s="16">
        <f>IF(A228="","",IF(M228=TRUE,IFERROR(I228,0),0))</f>
        <v/>
      </c>
      <c r="Q228" s="16">
        <f>IF(A228="","",IF(M228=TRUE,IFERROR(J228,0),0))</f>
        <v/>
      </c>
      <c r="R228" s="16">
        <f>IF(A228="","",IF(M228=TRUE,IFERROR(K228,0),0))</f>
        <v/>
      </c>
      <c r="S228" s="16">
        <f>IF(A228="","",IF(M228=TRUE,IFERROR(L228,0),0))</f>
        <v/>
      </c>
      <c r="T228" s="16">
        <f>IF(A228="","",IF(M228=TRUE,IFERROR(H228,0)+IFERROR(I228,0)+IFERROR(L228,0),0))</f>
        <v/>
      </c>
    </row>
    <row r="229">
      <c r="A229" s="10" t="n"/>
      <c r="B229" s="10" t="n"/>
      <c r="C229" s="11" t="n"/>
      <c r="D229" s="11" t="n"/>
      <c r="E229" s="10" t="n"/>
      <c r="F229" s="10" t="n"/>
      <c r="G229" s="12" t="n"/>
      <c r="H229" s="13" t="n"/>
      <c r="I229" s="13" t="n"/>
      <c r="J229" s="13" t="n"/>
      <c r="K229" s="13" t="n"/>
      <c r="L229" s="13" t="n"/>
      <c r="M229" s="17">
        <f>IF(A229="","",IFERROR(VLOOKUP(A229,Raw_CurrentMonth!A:O,15,FALSE)=TRUE,FALSE))</f>
        <v/>
      </c>
      <c r="N229" s="16">
        <f>IF(A229="","",IF(M229=TRUE,IFERROR(H229,0)+IFERROR(I229,0)+IFERROR(J229,0)+IFERROR(K229,0)+IFERROR(L229,0),0))</f>
        <v/>
      </c>
      <c r="O229" s="16">
        <f>IF(A229="","",IF(M229=TRUE,IFERROR(H229,0),0))</f>
        <v/>
      </c>
      <c r="P229" s="16">
        <f>IF(A229="","",IF(M229=TRUE,IFERROR(I229,0),0))</f>
        <v/>
      </c>
      <c r="Q229" s="16">
        <f>IF(A229="","",IF(M229=TRUE,IFERROR(J229,0),0))</f>
        <v/>
      </c>
      <c r="R229" s="16">
        <f>IF(A229="","",IF(M229=TRUE,IFERROR(K229,0),0))</f>
        <v/>
      </c>
      <c r="S229" s="16">
        <f>IF(A229="","",IF(M229=TRUE,IFERROR(L229,0),0))</f>
        <v/>
      </c>
      <c r="T229" s="16">
        <f>IF(A229="","",IF(M229=TRUE,IFERROR(H229,0)+IFERROR(I229,0)+IFERROR(L229,0),0))</f>
        <v/>
      </c>
    </row>
    <row r="230">
      <c r="A230" s="10" t="n"/>
      <c r="B230" s="10" t="n"/>
      <c r="C230" s="11" t="n"/>
      <c r="D230" s="11" t="n"/>
      <c r="E230" s="10" t="n"/>
      <c r="F230" s="10" t="n"/>
      <c r="G230" s="12" t="n"/>
      <c r="H230" s="13" t="n"/>
      <c r="I230" s="13" t="n"/>
      <c r="J230" s="13" t="n"/>
      <c r="K230" s="13" t="n"/>
      <c r="L230" s="13" t="n"/>
      <c r="M230" s="17">
        <f>IF(A230="","",IFERROR(VLOOKUP(A230,Raw_CurrentMonth!A:O,15,FALSE)=TRUE,FALSE))</f>
        <v/>
      </c>
      <c r="N230" s="16">
        <f>IF(A230="","",IF(M230=TRUE,IFERROR(H230,0)+IFERROR(I230,0)+IFERROR(J230,0)+IFERROR(K230,0)+IFERROR(L230,0),0))</f>
        <v/>
      </c>
      <c r="O230" s="16">
        <f>IF(A230="","",IF(M230=TRUE,IFERROR(H230,0),0))</f>
        <v/>
      </c>
      <c r="P230" s="16">
        <f>IF(A230="","",IF(M230=TRUE,IFERROR(I230,0),0))</f>
        <v/>
      </c>
      <c r="Q230" s="16">
        <f>IF(A230="","",IF(M230=TRUE,IFERROR(J230,0),0))</f>
        <v/>
      </c>
      <c r="R230" s="16">
        <f>IF(A230="","",IF(M230=TRUE,IFERROR(K230,0),0))</f>
        <v/>
      </c>
      <c r="S230" s="16">
        <f>IF(A230="","",IF(M230=TRUE,IFERROR(L230,0),0))</f>
        <v/>
      </c>
      <c r="T230" s="16">
        <f>IF(A230="","",IF(M230=TRUE,IFERROR(H230,0)+IFERROR(I230,0)+IFERROR(L230,0),0))</f>
        <v/>
      </c>
    </row>
    <row r="231">
      <c r="A231" s="10" t="n"/>
      <c r="B231" s="10" t="n"/>
      <c r="C231" s="11" t="n"/>
      <c r="D231" s="11" t="n"/>
      <c r="E231" s="10" t="n"/>
      <c r="F231" s="10" t="n"/>
      <c r="G231" s="12" t="n"/>
      <c r="H231" s="13" t="n"/>
      <c r="I231" s="13" t="n"/>
      <c r="J231" s="13" t="n"/>
      <c r="K231" s="13" t="n"/>
      <c r="L231" s="13" t="n"/>
      <c r="M231" s="17">
        <f>IF(A231="","",IFERROR(VLOOKUP(A231,Raw_CurrentMonth!A:O,15,FALSE)=TRUE,FALSE))</f>
        <v/>
      </c>
      <c r="N231" s="16">
        <f>IF(A231="","",IF(M231=TRUE,IFERROR(H231,0)+IFERROR(I231,0)+IFERROR(J231,0)+IFERROR(K231,0)+IFERROR(L231,0),0))</f>
        <v/>
      </c>
      <c r="O231" s="16">
        <f>IF(A231="","",IF(M231=TRUE,IFERROR(H231,0),0))</f>
        <v/>
      </c>
      <c r="P231" s="16">
        <f>IF(A231="","",IF(M231=TRUE,IFERROR(I231,0),0))</f>
        <v/>
      </c>
      <c r="Q231" s="16">
        <f>IF(A231="","",IF(M231=TRUE,IFERROR(J231,0),0))</f>
        <v/>
      </c>
      <c r="R231" s="16">
        <f>IF(A231="","",IF(M231=TRUE,IFERROR(K231,0),0))</f>
        <v/>
      </c>
      <c r="S231" s="16">
        <f>IF(A231="","",IF(M231=TRUE,IFERROR(L231,0),0))</f>
        <v/>
      </c>
      <c r="T231" s="16">
        <f>IF(A231="","",IF(M231=TRUE,IFERROR(H231,0)+IFERROR(I231,0)+IFERROR(L231,0),0))</f>
        <v/>
      </c>
    </row>
    <row r="232">
      <c r="A232" s="10" t="n"/>
      <c r="B232" s="10" t="n"/>
      <c r="C232" s="11" t="n"/>
      <c r="D232" s="11" t="n"/>
      <c r="E232" s="10" t="n"/>
      <c r="F232" s="10" t="n"/>
      <c r="G232" s="12" t="n"/>
      <c r="H232" s="13" t="n"/>
      <c r="I232" s="13" t="n"/>
      <c r="J232" s="13" t="n"/>
      <c r="K232" s="13" t="n"/>
      <c r="L232" s="13" t="n"/>
      <c r="M232" s="17">
        <f>IF(A232="","",IFERROR(VLOOKUP(A232,Raw_CurrentMonth!A:O,15,FALSE)=TRUE,FALSE))</f>
        <v/>
      </c>
      <c r="N232" s="16">
        <f>IF(A232="","",IF(M232=TRUE,IFERROR(H232,0)+IFERROR(I232,0)+IFERROR(J232,0)+IFERROR(K232,0)+IFERROR(L232,0),0))</f>
        <v/>
      </c>
      <c r="O232" s="16">
        <f>IF(A232="","",IF(M232=TRUE,IFERROR(H232,0),0))</f>
        <v/>
      </c>
      <c r="P232" s="16">
        <f>IF(A232="","",IF(M232=TRUE,IFERROR(I232,0),0))</f>
        <v/>
      </c>
      <c r="Q232" s="16">
        <f>IF(A232="","",IF(M232=TRUE,IFERROR(J232,0),0))</f>
        <v/>
      </c>
      <c r="R232" s="16">
        <f>IF(A232="","",IF(M232=TRUE,IFERROR(K232,0),0))</f>
        <v/>
      </c>
      <c r="S232" s="16">
        <f>IF(A232="","",IF(M232=TRUE,IFERROR(L232,0),0))</f>
        <v/>
      </c>
      <c r="T232" s="16">
        <f>IF(A232="","",IF(M232=TRUE,IFERROR(H232,0)+IFERROR(I232,0)+IFERROR(L232,0),0))</f>
        <v/>
      </c>
    </row>
    <row r="233">
      <c r="A233" s="10" t="n"/>
      <c r="B233" s="10" t="n"/>
      <c r="C233" s="11" t="n"/>
      <c r="D233" s="11" t="n"/>
      <c r="E233" s="10" t="n"/>
      <c r="F233" s="10" t="n"/>
      <c r="G233" s="12" t="n"/>
      <c r="H233" s="13" t="n"/>
      <c r="I233" s="13" t="n"/>
      <c r="J233" s="13" t="n"/>
      <c r="K233" s="13" t="n"/>
      <c r="L233" s="13" t="n"/>
      <c r="M233" s="17">
        <f>IF(A233="","",IFERROR(VLOOKUP(A233,Raw_CurrentMonth!A:O,15,FALSE)=TRUE,FALSE))</f>
        <v/>
      </c>
      <c r="N233" s="16">
        <f>IF(A233="","",IF(M233=TRUE,IFERROR(H233,0)+IFERROR(I233,0)+IFERROR(J233,0)+IFERROR(K233,0)+IFERROR(L233,0),0))</f>
        <v/>
      </c>
      <c r="O233" s="16">
        <f>IF(A233="","",IF(M233=TRUE,IFERROR(H233,0),0))</f>
        <v/>
      </c>
      <c r="P233" s="16">
        <f>IF(A233="","",IF(M233=TRUE,IFERROR(I233,0),0))</f>
        <v/>
      </c>
      <c r="Q233" s="16">
        <f>IF(A233="","",IF(M233=TRUE,IFERROR(J233,0),0))</f>
        <v/>
      </c>
      <c r="R233" s="16">
        <f>IF(A233="","",IF(M233=TRUE,IFERROR(K233,0),0))</f>
        <v/>
      </c>
      <c r="S233" s="16">
        <f>IF(A233="","",IF(M233=TRUE,IFERROR(L233,0),0))</f>
        <v/>
      </c>
      <c r="T233" s="16">
        <f>IF(A233="","",IF(M233=TRUE,IFERROR(H233,0)+IFERROR(I233,0)+IFERROR(L233,0),0))</f>
        <v/>
      </c>
    </row>
    <row r="234">
      <c r="A234" s="10" t="n"/>
      <c r="B234" s="10" t="n"/>
      <c r="C234" s="11" t="n"/>
      <c r="D234" s="11" t="n"/>
      <c r="E234" s="10" t="n"/>
      <c r="F234" s="10" t="n"/>
      <c r="G234" s="12" t="n"/>
      <c r="H234" s="13" t="n"/>
      <c r="I234" s="13" t="n"/>
      <c r="J234" s="13" t="n"/>
      <c r="K234" s="13" t="n"/>
      <c r="L234" s="13" t="n"/>
      <c r="M234" s="17">
        <f>IF(A234="","",IFERROR(VLOOKUP(A234,Raw_CurrentMonth!A:O,15,FALSE)=TRUE,FALSE))</f>
        <v/>
      </c>
      <c r="N234" s="16">
        <f>IF(A234="","",IF(M234=TRUE,IFERROR(H234,0)+IFERROR(I234,0)+IFERROR(J234,0)+IFERROR(K234,0)+IFERROR(L234,0),0))</f>
        <v/>
      </c>
      <c r="O234" s="16">
        <f>IF(A234="","",IF(M234=TRUE,IFERROR(H234,0),0))</f>
        <v/>
      </c>
      <c r="P234" s="16">
        <f>IF(A234="","",IF(M234=TRUE,IFERROR(I234,0),0))</f>
        <v/>
      </c>
      <c r="Q234" s="16">
        <f>IF(A234="","",IF(M234=TRUE,IFERROR(J234,0),0))</f>
        <v/>
      </c>
      <c r="R234" s="16">
        <f>IF(A234="","",IF(M234=TRUE,IFERROR(K234,0),0))</f>
        <v/>
      </c>
      <c r="S234" s="16">
        <f>IF(A234="","",IF(M234=TRUE,IFERROR(L234,0),0))</f>
        <v/>
      </c>
      <c r="T234" s="16">
        <f>IF(A234="","",IF(M234=TRUE,IFERROR(H234,0)+IFERROR(I234,0)+IFERROR(L234,0),0))</f>
        <v/>
      </c>
    </row>
    <row r="235">
      <c r="A235" s="10" t="n"/>
      <c r="B235" s="10" t="n"/>
      <c r="C235" s="11" t="n"/>
      <c r="D235" s="11" t="n"/>
      <c r="E235" s="10" t="n"/>
      <c r="F235" s="10" t="n"/>
      <c r="G235" s="12" t="n"/>
      <c r="H235" s="13" t="n"/>
      <c r="I235" s="13" t="n"/>
      <c r="J235" s="13" t="n"/>
      <c r="K235" s="13" t="n"/>
      <c r="L235" s="13" t="n"/>
      <c r="M235" s="17">
        <f>IF(A235="","",IFERROR(VLOOKUP(A235,Raw_CurrentMonth!A:O,15,FALSE)=TRUE,FALSE))</f>
        <v/>
      </c>
      <c r="N235" s="16">
        <f>IF(A235="","",IF(M235=TRUE,IFERROR(H235,0)+IFERROR(I235,0)+IFERROR(J235,0)+IFERROR(K235,0)+IFERROR(L235,0),0))</f>
        <v/>
      </c>
      <c r="O235" s="16">
        <f>IF(A235="","",IF(M235=TRUE,IFERROR(H235,0),0))</f>
        <v/>
      </c>
      <c r="P235" s="16">
        <f>IF(A235="","",IF(M235=TRUE,IFERROR(I235,0),0))</f>
        <v/>
      </c>
      <c r="Q235" s="16">
        <f>IF(A235="","",IF(M235=TRUE,IFERROR(J235,0),0))</f>
        <v/>
      </c>
      <c r="R235" s="16">
        <f>IF(A235="","",IF(M235=TRUE,IFERROR(K235,0),0))</f>
        <v/>
      </c>
      <c r="S235" s="16">
        <f>IF(A235="","",IF(M235=TRUE,IFERROR(L235,0),0))</f>
        <v/>
      </c>
      <c r="T235" s="16">
        <f>IF(A235="","",IF(M235=TRUE,IFERROR(H235,0)+IFERROR(I235,0)+IFERROR(L235,0),0))</f>
        <v/>
      </c>
    </row>
    <row r="236">
      <c r="A236" s="10" t="n"/>
      <c r="B236" s="10" t="n"/>
      <c r="C236" s="11" t="n"/>
      <c r="D236" s="11" t="n"/>
      <c r="E236" s="10" t="n"/>
      <c r="F236" s="10" t="n"/>
      <c r="G236" s="12" t="n"/>
      <c r="H236" s="13" t="n"/>
      <c r="I236" s="13" t="n"/>
      <c r="J236" s="13" t="n"/>
      <c r="K236" s="13" t="n"/>
      <c r="L236" s="13" t="n"/>
      <c r="M236" s="17">
        <f>IF(A236="","",IFERROR(VLOOKUP(A236,Raw_CurrentMonth!A:O,15,FALSE)=TRUE,FALSE))</f>
        <v/>
      </c>
      <c r="N236" s="16">
        <f>IF(A236="","",IF(M236=TRUE,IFERROR(H236,0)+IFERROR(I236,0)+IFERROR(J236,0)+IFERROR(K236,0)+IFERROR(L236,0),0))</f>
        <v/>
      </c>
      <c r="O236" s="16">
        <f>IF(A236="","",IF(M236=TRUE,IFERROR(H236,0),0))</f>
        <v/>
      </c>
      <c r="P236" s="16">
        <f>IF(A236="","",IF(M236=TRUE,IFERROR(I236,0),0))</f>
        <v/>
      </c>
      <c r="Q236" s="16">
        <f>IF(A236="","",IF(M236=TRUE,IFERROR(J236,0),0))</f>
        <v/>
      </c>
      <c r="R236" s="16">
        <f>IF(A236="","",IF(M236=TRUE,IFERROR(K236,0),0))</f>
        <v/>
      </c>
      <c r="S236" s="16">
        <f>IF(A236="","",IF(M236=TRUE,IFERROR(L236,0),0))</f>
        <v/>
      </c>
      <c r="T236" s="16">
        <f>IF(A236="","",IF(M236=TRUE,IFERROR(H236,0)+IFERROR(I236,0)+IFERROR(L236,0),0))</f>
        <v/>
      </c>
    </row>
    <row r="237">
      <c r="A237" s="10" t="n"/>
      <c r="B237" s="10" t="n"/>
      <c r="C237" s="11" t="n"/>
      <c r="D237" s="11" t="n"/>
      <c r="E237" s="10" t="n"/>
      <c r="F237" s="10" t="n"/>
      <c r="G237" s="12" t="n"/>
      <c r="H237" s="13" t="n"/>
      <c r="I237" s="13" t="n"/>
      <c r="J237" s="13" t="n"/>
      <c r="K237" s="13" t="n"/>
      <c r="L237" s="13" t="n"/>
      <c r="M237" s="17">
        <f>IF(A237="","",IFERROR(VLOOKUP(A237,Raw_CurrentMonth!A:O,15,FALSE)=TRUE,FALSE))</f>
        <v/>
      </c>
      <c r="N237" s="16">
        <f>IF(A237="","",IF(M237=TRUE,IFERROR(H237,0)+IFERROR(I237,0)+IFERROR(J237,0)+IFERROR(K237,0)+IFERROR(L237,0),0))</f>
        <v/>
      </c>
      <c r="O237" s="16">
        <f>IF(A237="","",IF(M237=TRUE,IFERROR(H237,0),0))</f>
        <v/>
      </c>
      <c r="P237" s="16">
        <f>IF(A237="","",IF(M237=TRUE,IFERROR(I237,0),0))</f>
        <v/>
      </c>
      <c r="Q237" s="16">
        <f>IF(A237="","",IF(M237=TRUE,IFERROR(J237,0),0))</f>
        <v/>
      </c>
      <c r="R237" s="16">
        <f>IF(A237="","",IF(M237=TRUE,IFERROR(K237,0),0))</f>
        <v/>
      </c>
      <c r="S237" s="16">
        <f>IF(A237="","",IF(M237=TRUE,IFERROR(L237,0),0))</f>
        <v/>
      </c>
      <c r="T237" s="16">
        <f>IF(A237="","",IF(M237=TRUE,IFERROR(H237,0)+IFERROR(I237,0)+IFERROR(L237,0),0))</f>
        <v/>
      </c>
    </row>
    <row r="238">
      <c r="A238" s="10" t="n"/>
      <c r="B238" s="10" t="n"/>
      <c r="C238" s="11" t="n"/>
      <c r="D238" s="11" t="n"/>
      <c r="E238" s="10" t="n"/>
      <c r="F238" s="10" t="n"/>
      <c r="G238" s="12" t="n"/>
      <c r="H238" s="13" t="n"/>
      <c r="I238" s="13" t="n"/>
      <c r="J238" s="13" t="n"/>
      <c r="K238" s="13" t="n"/>
      <c r="L238" s="13" t="n"/>
      <c r="M238" s="17">
        <f>IF(A238="","",IFERROR(VLOOKUP(A238,Raw_CurrentMonth!A:O,15,FALSE)=TRUE,FALSE))</f>
        <v/>
      </c>
      <c r="N238" s="16">
        <f>IF(A238="","",IF(M238=TRUE,IFERROR(H238,0)+IFERROR(I238,0)+IFERROR(J238,0)+IFERROR(K238,0)+IFERROR(L238,0),0))</f>
        <v/>
      </c>
      <c r="O238" s="16">
        <f>IF(A238="","",IF(M238=TRUE,IFERROR(H238,0),0))</f>
        <v/>
      </c>
      <c r="P238" s="16">
        <f>IF(A238="","",IF(M238=TRUE,IFERROR(I238,0),0))</f>
        <v/>
      </c>
      <c r="Q238" s="16">
        <f>IF(A238="","",IF(M238=TRUE,IFERROR(J238,0),0))</f>
        <v/>
      </c>
      <c r="R238" s="16">
        <f>IF(A238="","",IF(M238=TRUE,IFERROR(K238,0),0))</f>
        <v/>
      </c>
      <c r="S238" s="16">
        <f>IF(A238="","",IF(M238=TRUE,IFERROR(L238,0),0))</f>
        <v/>
      </c>
      <c r="T238" s="16">
        <f>IF(A238="","",IF(M238=TRUE,IFERROR(H238,0)+IFERROR(I238,0)+IFERROR(L238,0),0))</f>
        <v/>
      </c>
    </row>
    <row r="239">
      <c r="A239" s="10" t="n"/>
      <c r="B239" s="10" t="n"/>
      <c r="C239" s="11" t="n"/>
      <c r="D239" s="11" t="n"/>
      <c r="E239" s="10" t="n"/>
      <c r="F239" s="10" t="n"/>
      <c r="G239" s="12" t="n"/>
      <c r="H239" s="13" t="n"/>
      <c r="I239" s="13" t="n"/>
      <c r="J239" s="13" t="n"/>
      <c r="K239" s="13" t="n"/>
      <c r="L239" s="13" t="n"/>
      <c r="M239" s="17">
        <f>IF(A239="","",IFERROR(VLOOKUP(A239,Raw_CurrentMonth!A:O,15,FALSE)=TRUE,FALSE))</f>
        <v/>
      </c>
      <c r="N239" s="16">
        <f>IF(A239="","",IF(M239=TRUE,IFERROR(H239,0)+IFERROR(I239,0)+IFERROR(J239,0)+IFERROR(K239,0)+IFERROR(L239,0),0))</f>
        <v/>
      </c>
      <c r="O239" s="16">
        <f>IF(A239="","",IF(M239=TRUE,IFERROR(H239,0),0))</f>
        <v/>
      </c>
      <c r="P239" s="16">
        <f>IF(A239="","",IF(M239=TRUE,IFERROR(I239,0),0))</f>
        <v/>
      </c>
      <c r="Q239" s="16">
        <f>IF(A239="","",IF(M239=TRUE,IFERROR(J239,0),0))</f>
        <v/>
      </c>
      <c r="R239" s="16">
        <f>IF(A239="","",IF(M239=TRUE,IFERROR(K239,0),0))</f>
        <v/>
      </c>
      <c r="S239" s="16">
        <f>IF(A239="","",IF(M239=TRUE,IFERROR(L239,0),0))</f>
        <v/>
      </c>
      <c r="T239" s="16">
        <f>IF(A239="","",IF(M239=TRUE,IFERROR(H239,0)+IFERROR(I239,0)+IFERROR(L239,0),0))</f>
        <v/>
      </c>
    </row>
    <row r="240">
      <c r="A240" s="10" t="n"/>
      <c r="B240" s="10" t="n"/>
      <c r="C240" s="11" t="n"/>
      <c r="D240" s="11" t="n"/>
      <c r="E240" s="10" t="n"/>
      <c r="F240" s="10" t="n"/>
      <c r="G240" s="12" t="n"/>
      <c r="H240" s="13" t="n"/>
      <c r="I240" s="13" t="n"/>
      <c r="J240" s="13" t="n"/>
      <c r="K240" s="13" t="n"/>
      <c r="L240" s="13" t="n"/>
      <c r="M240" s="17">
        <f>IF(A240="","",IFERROR(VLOOKUP(A240,Raw_CurrentMonth!A:O,15,FALSE)=TRUE,FALSE))</f>
        <v/>
      </c>
      <c r="N240" s="16">
        <f>IF(A240="","",IF(M240=TRUE,IFERROR(H240,0)+IFERROR(I240,0)+IFERROR(J240,0)+IFERROR(K240,0)+IFERROR(L240,0),0))</f>
        <v/>
      </c>
      <c r="O240" s="16">
        <f>IF(A240="","",IF(M240=TRUE,IFERROR(H240,0),0))</f>
        <v/>
      </c>
      <c r="P240" s="16">
        <f>IF(A240="","",IF(M240=TRUE,IFERROR(I240,0),0))</f>
        <v/>
      </c>
      <c r="Q240" s="16">
        <f>IF(A240="","",IF(M240=TRUE,IFERROR(J240,0),0))</f>
        <v/>
      </c>
      <c r="R240" s="16">
        <f>IF(A240="","",IF(M240=TRUE,IFERROR(K240,0),0))</f>
        <v/>
      </c>
      <c r="S240" s="16">
        <f>IF(A240="","",IF(M240=TRUE,IFERROR(L240,0),0))</f>
        <v/>
      </c>
      <c r="T240" s="16">
        <f>IF(A240="","",IF(M240=TRUE,IFERROR(H240,0)+IFERROR(I240,0)+IFERROR(L240,0),0))</f>
        <v/>
      </c>
    </row>
    <row r="241">
      <c r="A241" s="10" t="n"/>
      <c r="B241" s="10" t="n"/>
      <c r="C241" s="11" t="n"/>
      <c r="D241" s="11" t="n"/>
      <c r="E241" s="10" t="n"/>
      <c r="F241" s="10" t="n"/>
      <c r="G241" s="12" t="n"/>
      <c r="H241" s="13" t="n"/>
      <c r="I241" s="13" t="n"/>
      <c r="J241" s="13" t="n"/>
      <c r="K241" s="13" t="n"/>
      <c r="L241" s="13" t="n"/>
      <c r="M241" s="17">
        <f>IF(A241="","",IFERROR(VLOOKUP(A241,Raw_CurrentMonth!A:O,15,FALSE)=TRUE,FALSE))</f>
        <v/>
      </c>
      <c r="N241" s="16">
        <f>IF(A241="","",IF(M241=TRUE,IFERROR(H241,0)+IFERROR(I241,0)+IFERROR(J241,0)+IFERROR(K241,0)+IFERROR(L241,0),0))</f>
        <v/>
      </c>
      <c r="O241" s="16">
        <f>IF(A241="","",IF(M241=TRUE,IFERROR(H241,0),0))</f>
        <v/>
      </c>
      <c r="P241" s="16">
        <f>IF(A241="","",IF(M241=TRUE,IFERROR(I241,0),0))</f>
        <v/>
      </c>
      <c r="Q241" s="16">
        <f>IF(A241="","",IF(M241=TRUE,IFERROR(J241,0),0))</f>
        <v/>
      </c>
      <c r="R241" s="16">
        <f>IF(A241="","",IF(M241=TRUE,IFERROR(K241,0),0))</f>
        <v/>
      </c>
      <c r="S241" s="16">
        <f>IF(A241="","",IF(M241=TRUE,IFERROR(L241,0),0))</f>
        <v/>
      </c>
      <c r="T241" s="16">
        <f>IF(A241="","",IF(M241=TRUE,IFERROR(H241,0)+IFERROR(I241,0)+IFERROR(L241,0),0))</f>
        <v/>
      </c>
    </row>
    <row r="242">
      <c r="A242" s="10" t="n"/>
      <c r="B242" s="10" t="n"/>
      <c r="C242" s="11" t="n"/>
      <c r="D242" s="11" t="n"/>
      <c r="E242" s="10" t="n"/>
      <c r="F242" s="10" t="n"/>
      <c r="G242" s="12" t="n"/>
      <c r="H242" s="13" t="n"/>
      <c r="I242" s="13" t="n"/>
      <c r="J242" s="13" t="n"/>
      <c r="K242" s="13" t="n"/>
      <c r="L242" s="13" t="n"/>
      <c r="M242" s="17">
        <f>IF(A242="","",IFERROR(VLOOKUP(A242,Raw_CurrentMonth!A:O,15,FALSE)=TRUE,FALSE))</f>
        <v/>
      </c>
      <c r="N242" s="16">
        <f>IF(A242="","",IF(M242=TRUE,IFERROR(H242,0)+IFERROR(I242,0)+IFERROR(J242,0)+IFERROR(K242,0)+IFERROR(L242,0),0))</f>
        <v/>
      </c>
      <c r="O242" s="16">
        <f>IF(A242="","",IF(M242=TRUE,IFERROR(H242,0),0))</f>
        <v/>
      </c>
      <c r="P242" s="16">
        <f>IF(A242="","",IF(M242=TRUE,IFERROR(I242,0),0))</f>
        <v/>
      </c>
      <c r="Q242" s="16">
        <f>IF(A242="","",IF(M242=TRUE,IFERROR(J242,0),0))</f>
        <v/>
      </c>
      <c r="R242" s="16">
        <f>IF(A242="","",IF(M242=TRUE,IFERROR(K242,0),0))</f>
        <v/>
      </c>
      <c r="S242" s="16">
        <f>IF(A242="","",IF(M242=TRUE,IFERROR(L242,0),0))</f>
        <v/>
      </c>
      <c r="T242" s="16">
        <f>IF(A242="","",IF(M242=TRUE,IFERROR(H242,0)+IFERROR(I242,0)+IFERROR(L242,0),0))</f>
        <v/>
      </c>
    </row>
    <row r="243">
      <c r="A243" s="10" t="n"/>
      <c r="B243" s="10" t="n"/>
      <c r="C243" s="11" t="n"/>
      <c r="D243" s="11" t="n"/>
      <c r="E243" s="10" t="n"/>
      <c r="F243" s="10" t="n"/>
      <c r="G243" s="12" t="n"/>
      <c r="H243" s="13" t="n"/>
      <c r="I243" s="13" t="n"/>
      <c r="J243" s="13" t="n"/>
      <c r="K243" s="13" t="n"/>
      <c r="L243" s="13" t="n"/>
      <c r="M243" s="17">
        <f>IF(A243="","",IFERROR(VLOOKUP(A243,Raw_CurrentMonth!A:O,15,FALSE)=TRUE,FALSE))</f>
        <v/>
      </c>
      <c r="N243" s="16">
        <f>IF(A243="","",IF(M243=TRUE,IFERROR(H243,0)+IFERROR(I243,0)+IFERROR(J243,0)+IFERROR(K243,0)+IFERROR(L243,0),0))</f>
        <v/>
      </c>
      <c r="O243" s="16">
        <f>IF(A243="","",IF(M243=TRUE,IFERROR(H243,0),0))</f>
        <v/>
      </c>
      <c r="P243" s="16">
        <f>IF(A243="","",IF(M243=TRUE,IFERROR(I243,0),0))</f>
        <v/>
      </c>
      <c r="Q243" s="16">
        <f>IF(A243="","",IF(M243=TRUE,IFERROR(J243,0),0))</f>
        <v/>
      </c>
      <c r="R243" s="16">
        <f>IF(A243="","",IF(M243=TRUE,IFERROR(K243,0),0))</f>
        <v/>
      </c>
      <c r="S243" s="16">
        <f>IF(A243="","",IF(M243=TRUE,IFERROR(L243,0),0))</f>
        <v/>
      </c>
      <c r="T243" s="16">
        <f>IF(A243="","",IF(M243=TRUE,IFERROR(H243,0)+IFERROR(I243,0)+IFERROR(L243,0),0))</f>
        <v/>
      </c>
    </row>
    <row r="244">
      <c r="A244" s="10" t="n"/>
      <c r="B244" s="10" t="n"/>
      <c r="C244" s="11" t="n"/>
      <c r="D244" s="11" t="n"/>
      <c r="E244" s="10" t="n"/>
      <c r="F244" s="10" t="n"/>
      <c r="G244" s="12" t="n"/>
      <c r="H244" s="13" t="n"/>
      <c r="I244" s="13" t="n"/>
      <c r="J244" s="13" t="n"/>
      <c r="K244" s="13" t="n"/>
      <c r="L244" s="13" t="n"/>
      <c r="M244" s="17">
        <f>IF(A244="","",IFERROR(VLOOKUP(A244,Raw_CurrentMonth!A:O,15,FALSE)=TRUE,FALSE))</f>
        <v/>
      </c>
      <c r="N244" s="16">
        <f>IF(A244="","",IF(M244=TRUE,IFERROR(H244,0)+IFERROR(I244,0)+IFERROR(J244,0)+IFERROR(K244,0)+IFERROR(L244,0),0))</f>
        <v/>
      </c>
      <c r="O244" s="16">
        <f>IF(A244="","",IF(M244=TRUE,IFERROR(H244,0),0))</f>
        <v/>
      </c>
      <c r="P244" s="16">
        <f>IF(A244="","",IF(M244=TRUE,IFERROR(I244,0),0))</f>
        <v/>
      </c>
      <c r="Q244" s="16">
        <f>IF(A244="","",IF(M244=TRUE,IFERROR(J244,0),0))</f>
        <v/>
      </c>
      <c r="R244" s="16">
        <f>IF(A244="","",IF(M244=TRUE,IFERROR(K244,0),0))</f>
        <v/>
      </c>
      <c r="S244" s="16">
        <f>IF(A244="","",IF(M244=TRUE,IFERROR(L244,0),0))</f>
        <v/>
      </c>
      <c r="T244" s="16">
        <f>IF(A244="","",IF(M244=TRUE,IFERROR(H244,0)+IFERROR(I244,0)+IFERROR(L244,0),0))</f>
        <v/>
      </c>
    </row>
    <row r="245">
      <c r="A245" s="10" t="n"/>
      <c r="B245" s="10" t="n"/>
      <c r="C245" s="11" t="n"/>
      <c r="D245" s="11" t="n"/>
      <c r="E245" s="10" t="n"/>
      <c r="F245" s="10" t="n"/>
      <c r="G245" s="12" t="n"/>
      <c r="H245" s="13" t="n"/>
      <c r="I245" s="13" t="n"/>
      <c r="J245" s="13" t="n"/>
      <c r="K245" s="13" t="n"/>
      <c r="L245" s="13" t="n"/>
      <c r="M245" s="17">
        <f>IF(A245="","",IFERROR(VLOOKUP(A245,Raw_CurrentMonth!A:O,15,FALSE)=TRUE,FALSE))</f>
        <v/>
      </c>
      <c r="N245" s="16">
        <f>IF(A245="","",IF(M245=TRUE,IFERROR(H245,0)+IFERROR(I245,0)+IFERROR(J245,0)+IFERROR(K245,0)+IFERROR(L245,0),0))</f>
        <v/>
      </c>
      <c r="O245" s="16">
        <f>IF(A245="","",IF(M245=TRUE,IFERROR(H245,0),0))</f>
        <v/>
      </c>
      <c r="P245" s="16">
        <f>IF(A245="","",IF(M245=TRUE,IFERROR(I245,0),0))</f>
        <v/>
      </c>
      <c r="Q245" s="16">
        <f>IF(A245="","",IF(M245=TRUE,IFERROR(J245,0),0))</f>
        <v/>
      </c>
      <c r="R245" s="16">
        <f>IF(A245="","",IF(M245=TRUE,IFERROR(K245,0),0))</f>
        <v/>
      </c>
      <c r="S245" s="16">
        <f>IF(A245="","",IF(M245=TRUE,IFERROR(L245,0),0))</f>
        <v/>
      </c>
      <c r="T245" s="16">
        <f>IF(A245="","",IF(M245=TRUE,IFERROR(H245,0)+IFERROR(I245,0)+IFERROR(L245,0),0))</f>
        <v/>
      </c>
    </row>
    <row r="246">
      <c r="A246" s="10" t="n"/>
      <c r="B246" s="10" t="n"/>
      <c r="C246" s="11" t="n"/>
      <c r="D246" s="11" t="n"/>
      <c r="E246" s="10" t="n"/>
      <c r="F246" s="10" t="n"/>
      <c r="G246" s="12" t="n"/>
      <c r="H246" s="13" t="n"/>
      <c r="I246" s="13" t="n"/>
      <c r="J246" s="13" t="n"/>
      <c r="K246" s="13" t="n"/>
      <c r="L246" s="13" t="n"/>
      <c r="M246" s="17">
        <f>IF(A246="","",IFERROR(VLOOKUP(A246,Raw_CurrentMonth!A:O,15,FALSE)=TRUE,FALSE))</f>
        <v/>
      </c>
      <c r="N246" s="16">
        <f>IF(A246="","",IF(M246=TRUE,IFERROR(H246,0)+IFERROR(I246,0)+IFERROR(J246,0)+IFERROR(K246,0)+IFERROR(L246,0),0))</f>
        <v/>
      </c>
      <c r="O246" s="16">
        <f>IF(A246="","",IF(M246=TRUE,IFERROR(H246,0),0))</f>
        <v/>
      </c>
      <c r="P246" s="16">
        <f>IF(A246="","",IF(M246=TRUE,IFERROR(I246,0),0))</f>
        <v/>
      </c>
      <c r="Q246" s="16">
        <f>IF(A246="","",IF(M246=TRUE,IFERROR(J246,0),0))</f>
        <v/>
      </c>
      <c r="R246" s="16">
        <f>IF(A246="","",IF(M246=TRUE,IFERROR(K246,0),0))</f>
        <v/>
      </c>
      <c r="S246" s="16">
        <f>IF(A246="","",IF(M246=TRUE,IFERROR(L246,0),0))</f>
        <v/>
      </c>
      <c r="T246" s="16">
        <f>IF(A246="","",IF(M246=TRUE,IFERROR(H246,0)+IFERROR(I246,0)+IFERROR(L246,0),0))</f>
        <v/>
      </c>
    </row>
    <row r="247">
      <c r="A247" s="10" t="n"/>
      <c r="B247" s="10" t="n"/>
      <c r="C247" s="11" t="n"/>
      <c r="D247" s="11" t="n"/>
      <c r="E247" s="10" t="n"/>
      <c r="F247" s="10" t="n"/>
      <c r="G247" s="12" t="n"/>
      <c r="H247" s="13" t="n"/>
      <c r="I247" s="13" t="n"/>
      <c r="J247" s="13" t="n"/>
      <c r="K247" s="13" t="n"/>
      <c r="L247" s="13" t="n"/>
      <c r="M247" s="17">
        <f>IF(A247="","",IFERROR(VLOOKUP(A247,Raw_CurrentMonth!A:O,15,FALSE)=TRUE,FALSE))</f>
        <v/>
      </c>
      <c r="N247" s="16">
        <f>IF(A247="","",IF(M247=TRUE,IFERROR(H247,0)+IFERROR(I247,0)+IFERROR(J247,0)+IFERROR(K247,0)+IFERROR(L247,0),0))</f>
        <v/>
      </c>
      <c r="O247" s="16">
        <f>IF(A247="","",IF(M247=TRUE,IFERROR(H247,0),0))</f>
        <v/>
      </c>
      <c r="P247" s="16">
        <f>IF(A247="","",IF(M247=TRUE,IFERROR(I247,0),0))</f>
        <v/>
      </c>
      <c r="Q247" s="16">
        <f>IF(A247="","",IF(M247=TRUE,IFERROR(J247,0),0))</f>
        <v/>
      </c>
      <c r="R247" s="16">
        <f>IF(A247="","",IF(M247=TRUE,IFERROR(K247,0),0))</f>
        <v/>
      </c>
      <c r="S247" s="16">
        <f>IF(A247="","",IF(M247=TRUE,IFERROR(L247,0),0))</f>
        <v/>
      </c>
      <c r="T247" s="16">
        <f>IF(A247="","",IF(M247=TRUE,IFERROR(H247,0)+IFERROR(I247,0)+IFERROR(L247,0),0))</f>
        <v/>
      </c>
    </row>
    <row r="248">
      <c r="A248" s="10" t="n"/>
      <c r="B248" s="10" t="n"/>
      <c r="C248" s="11" t="n"/>
      <c r="D248" s="11" t="n"/>
      <c r="E248" s="10" t="n"/>
      <c r="F248" s="10" t="n"/>
      <c r="G248" s="12" t="n"/>
      <c r="H248" s="13" t="n"/>
      <c r="I248" s="13" t="n"/>
      <c r="J248" s="13" t="n"/>
      <c r="K248" s="13" t="n"/>
      <c r="L248" s="13" t="n"/>
      <c r="M248" s="17">
        <f>IF(A248="","",IFERROR(VLOOKUP(A248,Raw_CurrentMonth!A:O,15,FALSE)=TRUE,FALSE))</f>
        <v/>
      </c>
      <c r="N248" s="16">
        <f>IF(A248="","",IF(M248=TRUE,IFERROR(H248,0)+IFERROR(I248,0)+IFERROR(J248,0)+IFERROR(K248,0)+IFERROR(L248,0),0))</f>
        <v/>
      </c>
      <c r="O248" s="16">
        <f>IF(A248="","",IF(M248=TRUE,IFERROR(H248,0),0))</f>
        <v/>
      </c>
      <c r="P248" s="16">
        <f>IF(A248="","",IF(M248=TRUE,IFERROR(I248,0),0))</f>
        <v/>
      </c>
      <c r="Q248" s="16">
        <f>IF(A248="","",IF(M248=TRUE,IFERROR(J248,0),0))</f>
        <v/>
      </c>
      <c r="R248" s="16">
        <f>IF(A248="","",IF(M248=TRUE,IFERROR(K248,0),0))</f>
        <v/>
      </c>
      <c r="S248" s="16">
        <f>IF(A248="","",IF(M248=TRUE,IFERROR(L248,0),0))</f>
        <v/>
      </c>
      <c r="T248" s="16">
        <f>IF(A248="","",IF(M248=TRUE,IFERROR(H248,0)+IFERROR(I248,0)+IFERROR(L248,0),0))</f>
        <v/>
      </c>
    </row>
    <row r="249">
      <c r="A249" s="10" t="n"/>
      <c r="B249" s="10" t="n"/>
      <c r="C249" s="11" t="n"/>
      <c r="D249" s="11" t="n"/>
      <c r="E249" s="10" t="n"/>
      <c r="F249" s="10" t="n"/>
      <c r="G249" s="12" t="n"/>
      <c r="H249" s="13" t="n"/>
      <c r="I249" s="13" t="n"/>
      <c r="J249" s="13" t="n"/>
      <c r="K249" s="13" t="n"/>
      <c r="L249" s="13" t="n"/>
      <c r="M249" s="17">
        <f>IF(A249="","",IFERROR(VLOOKUP(A249,Raw_CurrentMonth!A:O,15,FALSE)=TRUE,FALSE))</f>
        <v/>
      </c>
      <c r="N249" s="16">
        <f>IF(A249="","",IF(M249=TRUE,IFERROR(H249,0)+IFERROR(I249,0)+IFERROR(J249,0)+IFERROR(K249,0)+IFERROR(L249,0),0))</f>
        <v/>
      </c>
      <c r="O249" s="16">
        <f>IF(A249="","",IF(M249=TRUE,IFERROR(H249,0),0))</f>
        <v/>
      </c>
      <c r="P249" s="16">
        <f>IF(A249="","",IF(M249=TRUE,IFERROR(I249,0),0))</f>
        <v/>
      </c>
      <c r="Q249" s="16">
        <f>IF(A249="","",IF(M249=TRUE,IFERROR(J249,0),0))</f>
        <v/>
      </c>
      <c r="R249" s="16">
        <f>IF(A249="","",IF(M249=TRUE,IFERROR(K249,0),0))</f>
        <v/>
      </c>
      <c r="S249" s="16">
        <f>IF(A249="","",IF(M249=TRUE,IFERROR(L249,0),0))</f>
        <v/>
      </c>
      <c r="T249" s="16">
        <f>IF(A249="","",IF(M249=TRUE,IFERROR(H249,0)+IFERROR(I249,0)+IFERROR(L249,0),0))</f>
        <v/>
      </c>
    </row>
    <row r="250">
      <c r="A250" s="10" t="n"/>
      <c r="B250" s="10" t="n"/>
      <c r="C250" s="11" t="n"/>
      <c r="D250" s="11" t="n"/>
      <c r="E250" s="10" t="n"/>
      <c r="F250" s="10" t="n"/>
      <c r="G250" s="12" t="n"/>
      <c r="H250" s="13" t="n"/>
      <c r="I250" s="13" t="n"/>
      <c r="J250" s="13" t="n"/>
      <c r="K250" s="13" t="n"/>
      <c r="L250" s="13" t="n"/>
      <c r="M250" s="17">
        <f>IF(A250="","",IFERROR(VLOOKUP(A250,Raw_CurrentMonth!A:O,15,FALSE)=TRUE,FALSE))</f>
        <v/>
      </c>
      <c r="N250" s="16">
        <f>IF(A250="","",IF(M250=TRUE,IFERROR(H250,0)+IFERROR(I250,0)+IFERROR(J250,0)+IFERROR(K250,0)+IFERROR(L250,0),0))</f>
        <v/>
      </c>
      <c r="O250" s="16">
        <f>IF(A250="","",IF(M250=TRUE,IFERROR(H250,0),0))</f>
        <v/>
      </c>
      <c r="P250" s="16">
        <f>IF(A250="","",IF(M250=TRUE,IFERROR(I250,0),0))</f>
        <v/>
      </c>
      <c r="Q250" s="16">
        <f>IF(A250="","",IF(M250=TRUE,IFERROR(J250,0),0))</f>
        <v/>
      </c>
      <c r="R250" s="16">
        <f>IF(A250="","",IF(M250=TRUE,IFERROR(K250,0),0))</f>
        <v/>
      </c>
      <c r="S250" s="16">
        <f>IF(A250="","",IF(M250=TRUE,IFERROR(L250,0),0))</f>
        <v/>
      </c>
      <c r="T250" s="16">
        <f>IF(A250="","",IF(M250=TRUE,IFERROR(H250,0)+IFERROR(I250,0)+IFERROR(L250,0),0))</f>
        <v/>
      </c>
    </row>
    <row r="251">
      <c r="A251" s="10" t="n"/>
      <c r="B251" s="10" t="n"/>
      <c r="C251" s="11" t="n"/>
      <c r="D251" s="11" t="n"/>
      <c r="E251" s="10" t="n"/>
      <c r="F251" s="10" t="n"/>
      <c r="G251" s="12" t="n"/>
      <c r="H251" s="13" t="n"/>
      <c r="I251" s="13" t="n"/>
      <c r="J251" s="13" t="n"/>
      <c r="K251" s="13" t="n"/>
      <c r="L251" s="13" t="n"/>
      <c r="M251" s="17">
        <f>IF(A251="","",IFERROR(VLOOKUP(A251,Raw_CurrentMonth!A:O,15,FALSE)=TRUE,FALSE))</f>
        <v/>
      </c>
      <c r="N251" s="16">
        <f>IF(A251="","",IF(M251=TRUE,IFERROR(H251,0)+IFERROR(I251,0)+IFERROR(J251,0)+IFERROR(K251,0)+IFERROR(L251,0),0))</f>
        <v/>
      </c>
      <c r="O251" s="16">
        <f>IF(A251="","",IF(M251=TRUE,IFERROR(H251,0),0))</f>
        <v/>
      </c>
      <c r="P251" s="16">
        <f>IF(A251="","",IF(M251=TRUE,IFERROR(I251,0),0))</f>
        <v/>
      </c>
      <c r="Q251" s="16">
        <f>IF(A251="","",IF(M251=TRUE,IFERROR(J251,0),0))</f>
        <v/>
      </c>
      <c r="R251" s="16">
        <f>IF(A251="","",IF(M251=TRUE,IFERROR(K251,0),0))</f>
        <v/>
      </c>
      <c r="S251" s="16">
        <f>IF(A251="","",IF(M251=TRUE,IFERROR(L251,0),0))</f>
        <v/>
      </c>
      <c r="T251" s="16">
        <f>IF(A251="","",IF(M251=TRUE,IFERROR(H251,0)+IFERROR(I251,0)+IFERROR(L251,0),0))</f>
        <v/>
      </c>
    </row>
    <row r="252">
      <c r="A252" s="10" t="n"/>
      <c r="B252" s="10" t="n"/>
      <c r="C252" s="11" t="n"/>
      <c r="D252" s="11" t="n"/>
      <c r="E252" s="10" t="n"/>
      <c r="F252" s="10" t="n"/>
      <c r="G252" s="12" t="n"/>
      <c r="H252" s="13" t="n"/>
      <c r="I252" s="13" t="n"/>
      <c r="J252" s="13" t="n"/>
      <c r="K252" s="13" t="n"/>
      <c r="L252" s="13" t="n"/>
      <c r="M252" s="17">
        <f>IF(A252="","",IFERROR(VLOOKUP(A252,Raw_CurrentMonth!A:O,15,FALSE)=TRUE,FALSE))</f>
        <v/>
      </c>
      <c r="N252" s="16">
        <f>IF(A252="","",IF(M252=TRUE,IFERROR(H252,0)+IFERROR(I252,0)+IFERROR(J252,0)+IFERROR(K252,0)+IFERROR(L252,0),0))</f>
        <v/>
      </c>
      <c r="O252" s="16">
        <f>IF(A252="","",IF(M252=TRUE,IFERROR(H252,0),0))</f>
        <v/>
      </c>
      <c r="P252" s="16">
        <f>IF(A252="","",IF(M252=TRUE,IFERROR(I252,0),0))</f>
        <v/>
      </c>
      <c r="Q252" s="16">
        <f>IF(A252="","",IF(M252=TRUE,IFERROR(J252,0),0))</f>
        <v/>
      </c>
      <c r="R252" s="16">
        <f>IF(A252="","",IF(M252=TRUE,IFERROR(K252,0),0))</f>
        <v/>
      </c>
      <c r="S252" s="16">
        <f>IF(A252="","",IF(M252=TRUE,IFERROR(L252,0),0))</f>
        <v/>
      </c>
      <c r="T252" s="16">
        <f>IF(A252="","",IF(M252=TRUE,IFERROR(H252,0)+IFERROR(I252,0)+IFERROR(L252,0),0))</f>
        <v/>
      </c>
    </row>
    <row r="253">
      <c r="A253" s="10" t="n"/>
      <c r="B253" s="10" t="n"/>
      <c r="C253" s="11" t="n"/>
      <c r="D253" s="11" t="n"/>
      <c r="E253" s="10" t="n"/>
      <c r="F253" s="10" t="n"/>
      <c r="G253" s="12" t="n"/>
      <c r="H253" s="13" t="n"/>
      <c r="I253" s="13" t="n"/>
      <c r="J253" s="13" t="n"/>
      <c r="K253" s="13" t="n"/>
      <c r="L253" s="13" t="n"/>
      <c r="M253" s="17">
        <f>IF(A253="","",IFERROR(VLOOKUP(A253,Raw_CurrentMonth!A:O,15,FALSE)=TRUE,FALSE))</f>
        <v/>
      </c>
      <c r="N253" s="16">
        <f>IF(A253="","",IF(M253=TRUE,IFERROR(H253,0)+IFERROR(I253,0)+IFERROR(J253,0)+IFERROR(K253,0)+IFERROR(L253,0),0))</f>
        <v/>
      </c>
      <c r="O253" s="16">
        <f>IF(A253="","",IF(M253=TRUE,IFERROR(H253,0),0))</f>
        <v/>
      </c>
      <c r="P253" s="16">
        <f>IF(A253="","",IF(M253=TRUE,IFERROR(I253,0),0))</f>
        <v/>
      </c>
      <c r="Q253" s="16">
        <f>IF(A253="","",IF(M253=TRUE,IFERROR(J253,0),0))</f>
        <v/>
      </c>
      <c r="R253" s="16">
        <f>IF(A253="","",IF(M253=TRUE,IFERROR(K253,0),0))</f>
        <v/>
      </c>
      <c r="S253" s="16">
        <f>IF(A253="","",IF(M253=TRUE,IFERROR(L253,0),0))</f>
        <v/>
      </c>
      <c r="T253" s="16">
        <f>IF(A253="","",IF(M253=TRUE,IFERROR(H253,0)+IFERROR(I253,0)+IFERROR(L253,0),0))</f>
        <v/>
      </c>
    </row>
    <row r="254">
      <c r="A254" s="10" t="n"/>
      <c r="B254" s="10" t="n"/>
      <c r="C254" s="11" t="n"/>
      <c r="D254" s="11" t="n"/>
      <c r="E254" s="10" t="n"/>
      <c r="F254" s="10" t="n"/>
      <c r="G254" s="12" t="n"/>
      <c r="H254" s="13" t="n"/>
      <c r="I254" s="13" t="n"/>
      <c r="J254" s="13" t="n"/>
      <c r="K254" s="13" t="n"/>
      <c r="L254" s="13" t="n"/>
      <c r="M254" s="17">
        <f>IF(A254="","",IFERROR(VLOOKUP(A254,Raw_CurrentMonth!A:O,15,FALSE)=TRUE,FALSE))</f>
        <v/>
      </c>
      <c r="N254" s="16">
        <f>IF(A254="","",IF(M254=TRUE,IFERROR(H254,0)+IFERROR(I254,0)+IFERROR(J254,0)+IFERROR(K254,0)+IFERROR(L254,0),0))</f>
        <v/>
      </c>
      <c r="O254" s="16">
        <f>IF(A254="","",IF(M254=TRUE,IFERROR(H254,0),0))</f>
        <v/>
      </c>
      <c r="P254" s="16">
        <f>IF(A254="","",IF(M254=TRUE,IFERROR(I254,0),0))</f>
        <v/>
      </c>
      <c r="Q254" s="16">
        <f>IF(A254="","",IF(M254=TRUE,IFERROR(J254,0),0))</f>
        <v/>
      </c>
      <c r="R254" s="16">
        <f>IF(A254="","",IF(M254=TRUE,IFERROR(K254,0),0))</f>
        <v/>
      </c>
      <c r="S254" s="16">
        <f>IF(A254="","",IF(M254=TRUE,IFERROR(L254,0),0))</f>
        <v/>
      </c>
      <c r="T254" s="16">
        <f>IF(A254="","",IF(M254=TRUE,IFERROR(H254,0)+IFERROR(I254,0)+IFERROR(L254,0),0))</f>
        <v/>
      </c>
    </row>
    <row r="255">
      <c r="A255" s="10" t="n"/>
      <c r="B255" s="10" t="n"/>
      <c r="C255" s="11" t="n"/>
      <c r="D255" s="11" t="n"/>
      <c r="E255" s="10" t="n"/>
      <c r="F255" s="10" t="n"/>
      <c r="G255" s="12" t="n"/>
      <c r="H255" s="13" t="n"/>
      <c r="I255" s="13" t="n"/>
      <c r="J255" s="13" t="n"/>
      <c r="K255" s="13" t="n"/>
      <c r="L255" s="13" t="n"/>
      <c r="M255" s="17">
        <f>IF(A255="","",IFERROR(VLOOKUP(A255,Raw_CurrentMonth!A:O,15,FALSE)=TRUE,FALSE))</f>
        <v/>
      </c>
      <c r="N255" s="16">
        <f>IF(A255="","",IF(M255=TRUE,IFERROR(H255,0)+IFERROR(I255,0)+IFERROR(J255,0)+IFERROR(K255,0)+IFERROR(L255,0),0))</f>
        <v/>
      </c>
      <c r="O255" s="16">
        <f>IF(A255="","",IF(M255=TRUE,IFERROR(H255,0),0))</f>
        <v/>
      </c>
      <c r="P255" s="16">
        <f>IF(A255="","",IF(M255=TRUE,IFERROR(I255,0),0))</f>
        <v/>
      </c>
      <c r="Q255" s="16">
        <f>IF(A255="","",IF(M255=TRUE,IFERROR(J255,0),0))</f>
        <v/>
      </c>
      <c r="R255" s="16">
        <f>IF(A255="","",IF(M255=TRUE,IFERROR(K255,0),0))</f>
        <v/>
      </c>
      <c r="S255" s="16">
        <f>IF(A255="","",IF(M255=TRUE,IFERROR(L255,0),0))</f>
        <v/>
      </c>
      <c r="T255" s="16">
        <f>IF(A255="","",IF(M255=TRUE,IFERROR(H255,0)+IFERROR(I255,0)+IFERROR(L255,0),0))</f>
        <v/>
      </c>
    </row>
    <row r="256">
      <c r="A256" s="10" t="n"/>
      <c r="B256" s="10" t="n"/>
      <c r="C256" s="11" t="n"/>
      <c r="D256" s="11" t="n"/>
      <c r="E256" s="10" t="n"/>
      <c r="F256" s="10" t="n"/>
      <c r="G256" s="12" t="n"/>
      <c r="H256" s="13" t="n"/>
      <c r="I256" s="13" t="n"/>
      <c r="J256" s="13" t="n"/>
      <c r="K256" s="13" t="n"/>
      <c r="L256" s="13" t="n"/>
      <c r="M256" s="17">
        <f>IF(A256="","",IFERROR(VLOOKUP(A256,Raw_CurrentMonth!A:O,15,FALSE)=TRUE,FALSE))</f>
        <v/>
      </c>
      <c r="N256" s="16">
        <f>IF(A256="","",IF(M256=TRUE,IFERROR(H256,0)+IFERROR(I256,0)+IFERROR(J256,0)+IFERROR(K256,0)+IFERROR(L256,0),0))</f>
        <v/>
      </c>
      <c r="O256" s="16">
        <f>IF(A256="","",IF(M256=TRUE,IFERROR(H256,0),0))</f>
        <v/>
      </c>
      <c r="P256" s="16">
        <f>IF(A256="","",IF(M256=TRUE,IFERROR(I256,0),0))</f>
        <v/>
      </c>
      <c r="Q256" s="16">
        <f>IF(A256="","",IF(M256=TRUE,IFERROR(J256,0),0))</f>
        <v/>
      </c>
      <c r="R256" s="16">
        <f>IF(A256="","",IF(M256=TRUE,IFERROR(K256,0),0))</f>
        <v/>
      </c>
      <c r="S256" s="16">
        <f>IF(A256="","",IF(M256=TRUE,IFERROR(L256,0),0))</f>
        <v/>
      </c>
      <c r="T256" s="16">
        <f>IF(A256="","",IF(M256=TRUE,IFERROR(H256,0)+IFERROR(I256,0)+IFERROR(L256,0),0))</f>
        <v/>
      </c>
    </row>
    <row r="257">
      <c r="A257" s="10" t="n"/>
      <c r="B257" s="10" t="n"/>
      <c r="C257" s="11" t="n"/>
      <c r="D257" s="11" t="n"/>
      <c r="E257" s="10" t="n"/>
      <c r="F257" s="10" t="n"/>
      <c r="G257" s="12" t="n"/>
      <c r="H257" s="13" t="n"/>
      <c r="I257" s="13" t="n"/>
      <c r="J257" s="13" t="n"/>
      <c r="K257" s="13" t="n"/>
      <c r="L257" s="13" t="n"/>
      <c r="M257" s="17">
        <f>IF(A257="","",IFERROR(VLOOKUP(A257,Raw_CurrentMonth!A:O,15,FALSE)=TRUE,FALSE))</f>
        <v/>
      </c>
      <c r="N257" s="16">
        <f>IF(A257="","",IF(M257=TRUE,IFERROR(H257,0)+IFERROR(I257,0)+IFERROR(J257,0)+IFERROR(K257,0)+IFERROR(L257,0),0))</f>
        <v/>
      </c>
      <c r="O257" s="16">
        <f>IF(A257="","",IF(M257=TRUE,IFERROR(H257,0),0))</f>
        <v/>
      </c>
      <c r="P257" s="16">
        <f>IF(A257="","",IF(M257=TRUE,IFERROR(I257,0),0))</f>
        <v/>
      </c>
      <c r="Q257" s="16">
        <f>IF(A257="","",IF(M257=TRUE,IFERROR(J257,0),0))</f>
        <v/>
      </c>
      <c r="R257" s="16">
        <f>IF(A257="","",IF(M257=TRUE,IFERROR(K257,0),0))</f>
        <v/>
      </c>
      <c r="S257" s="16">
        <f>IF(A257="","",IF(M257=TRUE,IFERROR(L257,0),0))</f>
        <v/>
      </c>
      <c r="T257" s="16">
        <f>IF(A257="","",IF(M257=TRUE,IFERROR(H257,0)+IFERROR(I257,0)+IFERROR(L257,0),0))</f>
        <v/>
      </c>
    </row>
    <row r="258">
      <c r="A258" s="10" t="n"/>
      <c r="B258" s="10" t="n"/>
      <c r="C258" s="11" t="n"/>
      <c r="D258" s="11" t="n"/>
      <c r="E258" s="10" t="n"/>
      <c r="F258" s="10" t="n"/>
      <c r="G258" s="12" t="n"/>
      <c r="H258" s="13" t="n"/>
      <c r="I258" s="13" t="n"/>
      <c r="J258" s="13" t="n"/>
      <c r="K258" s="13" t="n"/>
      <c r="L258" s="13" t="n"/>
      <c r="M258" s="17">
        <f>IF(A258="","",IFERROR(VLOOKUP(A258,Raw_CurrentMonth!A:O,15,FALSE)=TRUE,FALSE))</f>
        <v/>
      </c>
      <c r="N258" s="16">
        <f>IF(A258="","",IF(M258=TRUE,IFERROR(H258,0)+IFERROR(I258,0)+IFERROR(J258,0)+IFERROR(K258,0)+IFERROR(L258,0),0))</f>
        <v/>
      </c>
      <c r="O258" s="16">
        <f>IF(A258="","",IF(M258=TRUE,IFERROR(H258,0),0))</f>
        <v/>
      </c>
      <c r="P258" s="16">
        <f>IF(A258="","",IF(M258=TRUE,IFERROR(I258,0),0))</f>
        <v/>
      </c>
      <c r="Q258" s="16">
        <f>IF(A258="","",IF(M258=TRUE,IFERROR(J258,0),0))</f>
        <v/>
      </c>
      <c r="R258" s="16">
        <f>IF(A258="","",IF(M258=TRUE,IFERROR(K258,0),0))</f>
        <v/>
      </c>
      <c r="S258" s="16">
        <f>IF(A258="","",IF(M258=TRUE,IFERROR(L258,0),0))</f>
        <v/>
      </c>
      <c r="T258" s="16">
        <f>IF(A258="","",IF(M258=TRUE,IFERROR(H258,0)+IFERROR(I258,0)+IFERROR(L258,0),0))</f>
        <v/>
      </c>
    </row>
    <row r="259">
      <c r="A259" s="10" t="n"/>
      <c r="B259" s="10" t="n"/>
      <c r="C259" s="11" t="n"/>
      <c r="D259" s="11" t="n"/>
      <c r="E259" s="10" t="n"/>
      <c r="F259" s="10" t="n"/>
      <c r="G259" s="12" t="n"/>
      <c r="H259" s="13" t="n"/>
      <c r="I259" s="13" t="n"/>
      <c r="J259" s="13" t="n"/>
      <c r="K259" s="13" t="n"/>
      <c r="L259" s="13" t="n"/>
      <c r="M259" s="17">
        <f>IF(A259="","",IFERROR(VLOOKUP(A259,Raw_CurrentMonth!A:O,15,FALSE)=TRUE,FALSE))</f>
        <v/>
      </c>
      <c r="N259" s="16">
        <f>IF(A259="","",IF(M259=TRUE,IFERROR(H259,0)+IFERROR(I259,0)+IFERROR(J259,0)+IFERROR(K259,0)+IFERROR(L259,0),0))</f>
        <v/>
      </c>
      <c r="O259" s="16">
        <f>IF(A259="","",IF(M259=TRUE,IFERROR(H259,0),0))</f>
        <v/>
      </c>
      <c r="P259" s="16">
        <f>IF(A259="","",IF(M259=TRUE,IFERROR(I259,0),0))</f>
        <v/>
      </c>
      <c r="Q259" s="16">
        <f>IF(A259="","",IF(M259=TRUE,IFERROR(J259,0),0))</f>
        <v/>
      </c>
      <c r="R259" s="16">
        <f>IF(A259="","",IF(M259=TRUE,IFERROR(K259,0),0))</f>
        <v/>
      </c>
      <c r="S259" s="16">
        <f>IF(A259="","",IF(M259=TRUE,IFERROR(L259,0),0))</f>
        <v/>
      </c>
      <c r="T259" s="16">
        <f>IF(A259="","",IF(M259=TRUE,IFERROR(H259,0)+IFERROR(I259,0)+IFERROR(L259,0),0))</f>
        <v/>
      </c>
    </row>
    <row r="260">
      <c r="A260" s="10" t="n"/>
      <c r="B260" s="10" t="n"/>
      <c r="C260" s="11" t="n"/>
      <c r="D260" s="11" t="n"/>
      <c r="E260" s="10" t="n"/>
      <c r="F260" s="10" t="n"/>
      <c r="G260" s="12" t="n"/>
      <c r="H260" s="13" t="n"/>
      <c r="I260" s="13" t="n"/>
      <c r="J260" s="13" t="n"/>
      <c r="K260" s="13" t="n"/>
      <c r="L260" s="13" t="n"/>
      <c r="M260" s="17">
        <f>IF(A260="","",IFERROR(VLOOKUP(A260,Raw_CurrentMonth!A:O,15,FALSE)=TRUE,FALSE))</f>
        <v/>
      </c>
      <c r="N260" s="16">
        <f>IF(A260="","",IF(M260=TRUE,IFERROR(H260,0)+IFERROR(I260,0)+IFERROR(J260,0)+IFERROR(K260,0)+IFERROR(L260,0),0))</f>
        <v/>
      </c>
      <c r="O260" s="16">
        <f>IF(A260="","",IF(M260=TRUE,IFERROR(H260,0),0))</f>
        <v/>
      </c>
      <c r="P260" s="16">
        <f>IF(A260="","",IF(M260=TRUE,IFERROR(I260,0),0))</f>
        <v/>
      </c>
      <c r="Q260" s="16">
        <f>IF(A260="","",IF(M260=TRUE,IFERROR(J260,0),0))</f>
        <v/>
      </c>
      <c r="R260" s="16">
        <f>IF(A260="","",IF(M260=TRUE,IFERROR(K260,0),0))</f>
        <v/>
      </c>
      <c r="S260" s="16">
        <f>IF(A260="","",IF(M260=TRUE,IFERROR(L260,0),0))</f>
        <v/>
      </c>
      <c r="T260" s="16">
        <f>IF(A260="","",IF(M260=TRUE,IFERROR(H260,0)+IFERROR(I260,0)+IFERROR(L260,0),0))</f>
        <v/>
      </c>
    </row>
    <row r="261">
      <c r="A261" s="10" t="n"/>
      <c r="B261" s="10" t="n"/>
      <c r="C261" s="11" t="n"/>
      <c r="D261" s="11" t="n"/>
      <c r="E261" s="10" t="n"/>
      <c r="F261" s="10" t="n"/>
      <c r="G261" s="12" t="n"/>
      <c r="H261" s="13" t="n"/>
      <c r="I261" s="13" t="n"/>
      <c r="J261" s="13" t="n"/>
      <c r="K261" s="13" t="n"/>
      <c r="L261" s="13" t="n"/>
      <c r="M261" s="17">
        <f>IF(A261="","",IFERROR(VLOOKUP(A261,Raw_CurrentMonth!A:O,15,FALSE)=TRUE,FALSE))</f>
        <v/>
      </c>
      <c r="N261" s="16">
        <f>IF(A261="","",IF(M261=TRUE,IFERROR(H261,0)+IFERROR(I261,0)+IFERROR(J261,0)+IFERROR(K261,0)+IFERROR(L261,0),0))</f>
        <v/>
      </c>
      <c r="O261" s="16">
        <f>IF(A261="","",IF(M261=TRUE,IFERROR(H261,0),0))</f>
        <v/>
      </c>
      <c r="P261" s="16">
        <f>IF(A261="","",IF(M261=TRUE,IFERROR(I261,0),0))</f>
        <v/>
      </c>
      <c r="Q261" s="16">
        <f>IF(A261="","",IF(M261=TRUE,IFERROR(J261,0),0))</f>
        <v/>
      </c>
      <c r="R261" s="16">
        <f>IF(A261="","",IF(M261=TRUE,IFERROR(K261,0),0))</f>
        <v/>
      </c>
      <c r="S261" s="16">
        <f>IF(A261="","",IF(M261=TRUE,IFERROR(L261,0),0))</f>
        <v/>
      </c>
      <c r="T261" s="16">
        <f>IF(A261="","",IF(M261=TRUE,IFERROR(H261,0)+IFERROR(I261,0)+IFERROR(L261,0),0))</f>
        <v/>
      </c>
    </row>
    <row r="262">
      <c r="A262" s="10" t="n"/>
      <c r="B262" s="10" t="n"/>
      <c r="C262" s="11" t="n"/>
      <c r="D262" s="11" t="n"/>
      <c r="E262" s="10" t="n"/>
      <c r="F262" s="10" t="n"/>
      <c r="G262" s="12" t="n"/>
      <c r="H262" s="13" t="n"/>
      <c r="I262" s="13" t="n"/>
      <c r="J262" s="13" t="n"/>
      <c r="K262" s="13" t="n"/>
      <c r="L262" s="13" t="n"/>
      <c r="M262" s="17">
        <f>IF(A262="","",IFERROR(VLOOKUP(A262,Raw_CurrentMonth!A:O,15,FALSE)=TRUE,FALSE))</f>
        <v/>
      </c>
      <c r="N262" s="16">
        <f>IF(A262="","",IF(M262=TRUE,IFERROR(H262,0)+IFERROR(I262,0)+IFERROR(J262,0)+IFERROR(K262,0)+IFERROR(L262,0),0))</f>
        <v/>
      </c>
      <c r="O262" s="16">
        <f>IF(A262="","",IF(M262=TRUE,IFERROR(H262,0),0))</f>
        <v/>
      </c>
      <c r="P262" s="16">
        <f>IF(A262="","",IF(M262=TRUE,IFERROR(I262,0),0))</f>
        <v/>
      </c>
      <c r="Q262" s="16">
        <f>IF(A262="","",IF(M262=TRUE,IFERROR(J262,0),0))</f>
        <v/>
      </c>
      <c r="R262" s="16">
        <f>IF(A262="","",IF(M262=TRUE,IFERROR(K262,0),0))</f>
        <v/>
      </c>
      <c r="S262" s="16">
        <f>IF(A262="","",IF(M262=TRUE,IFERROR(L262,0),0))</f>
        <v/>
      </c>
      <c r="T262" s="16">
        <f>IF(A262="","",IF(M262=TRUE,IFERROR(H262,0)+IFERROR(I262,0)+IFERROR(L262,0),0))</f>
        <v/>
      </c>
    </row>
    <row r="263">
      <c r="A263" s="10" t="n"/>
      <c r="B263" s="10" t="n"/>
      <c r="C263" s="11" t="n"/>
      <c r="D263" s="11" t="n"/>
      <c r="E263" s="10" t="n"/>
      <c r="F263" s="10" t="n"/>
      <c r="G263" s="12" t="n"/>
      <c r="H263" s="13" t="n"/>
      <c r="I263" s="13" t="n"/>
      <c r="J263" s="13" t="n"/>
      <c r="K263" s="13" t="n"/>
      <c r="L263" s="13" t="n"/>
      <c r="M263" s="17">
        <f>IF(A263="","",IFERROR(VLOOKUP(A263,Raw_CurrentMonth!A:O,15,FALSE)=TRUE,FALSE))</f>
        <v/>
      </c>
      <c r="N263" s="16">
        <f>IF(A263="","",IF(M263=TRUE,IFERROR(H263,0)+IFERROR(I263,0)+IFERROR(J263,0)+IFERROR(K263,0)+IFERROR(L263,0),0))</f>
        <v/>
      </c>
      <c r="O263" s="16">
        <f>IF(A263="","",IF(M263=TRUE,IFERROR(H263,0),0))</f>
        <v/>
      </c>
      <c r="P263" s="16">
        <f>IF(A263="","",IF(M263=TRUE,IFERROR(I263,0),0))</f>
        <v/>
      </c>
      <c r="Q263" s="16">
        <f>IF(A263="","",IF(M263=TRUE,IFERROR(J263,0),0))</f>
        <v/>
      </c>
      <c r="R263" s="16">
        <f>IF(A263="","",IF(M263=TRUE,IFERROR(K263,0),0))</f>
        <v/>
      </c>
      <c r="S263" s="16">
        <f>IF(A263="","",IF(M263=TRUE,IFERROR(L263,0),0))</f>
        <v/>
      </c>
      <c r="T263" s="16">
        <f>IF(A263="","",IF(M263=TRUE,IFERROR(H263,0)+IFERROR(I263,0)+IFERROR(L263,0),0))</f>
        <v/>
      </c>
    </row>
    <row r="264">
      <c r="A264" s="10" t="n"/>
      <c r="B264" s="10" t="n"/>
      <c r="C264" s="11" t="n"/>
      <c r="D264" s="11" t="n"/>
      <c r="E264" s="10" t="n"/>
      <c r="F264" s="10" t="n"/>
      <c r="G264" s="12" t="n"/>
      <c r="H264" s="13" t="n"/>
      <c r="I264" s="13" t="n"/>
      <c r="J264" s="13" t="n"/>
      <c r="K264" s="13" t="n"/>
      <c r="L264" s="13" t="n"/>
      <c r="M264" s="17">
        <f>IF(A264="","",IFERROR(VLOOKUP(A264,Raw_CurrentMonth!A:O,15,FALSE)=TRUE,FALSE))</f>
        <v/>
      </c>
      <c r="N264" s="16">
        <f>IF(A264="","",IF(M264=TRUE,IFERROR(H264,0)+IFERROR(I264,0)+IFERROR(J264,0)+IFERROR(K264,0)+IFERROR(L264,0),0))</f>
        <v/>
      </c>
      <c r="O264" s="16">
        <f>IF(A264="","",IF(M264=TRUE,IFERROR(H264,0),0))</f>
        <v/>
      </c>
      <c r="P264" s="16">
        <f>IF(A264="","",IF(M264=TRUE,IFERROR(I264,0),0))</f>
        <v/>
      </c>
      <c r="Q264" s="16">
        <f>IF(A264="","",IF(M264=TRUE,IFERROR(J264,0),0))</f>
        <v/>
      </c>
      <c r="R264" s="16">
        <f>IF(A264="","",IF(M264=TRUE,IFERROR(K264,0),0))</f>
        <v/>
      </c>
      <c r="S264" s="16">
        <f>IF(A264="","",IF(M264=TRUE,IFERROR(L264,0),0))</f>
        <v/>
      </c>
      <c r="T264" s="16">
        <f>IF(A264="","",IF(M264=TRUE,IFERROR(H264,0)+IFERROR(I264,0)+IFERROR(L264,0),0))</f>
        <v/>
      </c>
    </row>
    <row r="265">
      <c r="A265" s="10" t="n"/>
      <c r="B265" s="10" t="n"/>
      <c r="C265" s="11" t="n"/>
      <c r="D265" s="11" t="n"/>
      <c r="E265" s="10" t="n"/>
      <c r="F265" s="10" t="n"/>
      <c r="G265" s="12" t="n"/>
      <c r="H265" s="13" t="n"/>
      <c r="I265" s="13" t="n"/>
      <c r="J265" s="13" t="n"/>
      <c r="K265" s="13" t="n"/>
      <c r="L265" s="13" t="n"/>
      <c r="M265" s="17">
        <f>IF(A265="","",IFERROR(VLOOKUP(A265,Raw_CurrentMonth!A:O,15,FALSE)=TRUE,FALSE))</f>
        <v/>
      </c>
      <c r="N265" s="16">
        <f>IF(A265="","",IF(M265=TRUE,IFERROR(H265,0)+IFERROR(I265,0)+IFERROR(J265,0)+IFERROR(K265,0)+IFERROR(L265,0),0))</f>
        <v/>
      </c>
      <c r="O265" s="16">
        <f>IF(A265="","",IF(M265=TRUE,IFERROR(H265,0),0))</f>
        <v/>
      </c>
      <c r="P265" s="16">
        <f>IF(A265="","",IF(M265=TRUE,IFERROR(I265,0),0))</f>
        <v/>
      </c>
      <c r="Q265" s="16">
        <f>IF(A265="","",IF(M265=TRUE,IFERROR(J265,0),0))</f>
        <v/>
      </c>
      <c r="R265" s="16">
        <f>IF(A265="","",IF(M265=TRUE,IFERROR(K265,0),0))</f>
        <v/>
      </c>
      <c r="S265" s="16">
        <f>IF(A265="","",IF(M265=TRUE,IFERROR(L265,0),0))</f>
        <v/>
      </c>
      <c r="T265" s="16">
        <f>IF(A265="","",IF(M265=TRUE,IFERROR(H265,0)+IFERROR(I265,0)+IFERROR(L265,0),0))</f>
        <v/>
      </c>
    </row>
    <row r="266">
      <c r="A266" s="10" t="n"/>
      <c r="B266" s="10" t="n"/>
      <c r="C266" s="11" t="n"/>
      <c r="D266" s="11" t="n"/>
      <c r="E266" s="10" t="n"/>
      <c r="F266" s="10" t="n"/>
      <c r="G266" s="12" t="n"/>
      <c r="H266" s="13" t="n"/>
      <c r="I266" s="13" t="n"/>
      <c r="J266" s="13" t="n"/>
      <c r="K266" s="13" t="n"/>
      <c r="L266" s="13" t="n"/>
      <c r="M266" s="17">
        <f>IF(A266="","",IFERROR(VLOOKUP(A266,Raw_CurrentMonth!A:O,15,FALSE)=TRUE,FALSE))</f>
        <v/>
      </c>
      <c r="N266" s="16">
        <f>IF(A266="","",IF(M266=TRUE,IFERROR(H266,0)+IFERROR(I266,0)+IFERROR(J266,0)+IFERROR(K266,0)+IFERROR(L266,0),0))</f>
        <v/>
      </c>
      <c r="O266" s="16">
        <f>IF(A266="","",IF(M266=TRUE,IFERROR(H266,0),0))</f>
        <v/>
      </c>
      <c r="P266" s="16">
        <f>IF(A266="","",IF(M266=TRUE,IFERROR(I266,0),0))</f>
        <v/>
      </c>
      <c r="Q266" s="16">
        <f>IF(A266="","",IF(M266=TRUE,IFERROR(J266,0),0))</f>
        <v/>
      </c>
      <c r="R266" s="16">
        <f>IF(A266="","",IF(M266=TRUE,IFERROR(K266,0),0))</f>
        <v/>
      </c>
      <c r="S266" s="16">
        <f>IF(A266="","",IF(M266=TRUE,IFERROR(L266,0),0))</f>
        <v/>
      </c>
      <c r="T266" s="16">
        <f>IF(A266="","",IF(M266=TRUE,IFERROR(H266,0)+IFERROR(I266,0)+IFERROR(L266,0),0))</f>
        <v/>
      </c>
    </row>
    <row r="267">
      <c r="A267" s="10" t="n"/>
      <c r="B267" s="10" t="n"/>
      <c r="C267" s="11" t="n"/>
      <c r="D267" s="11" t="n"/>
      <c r="E267" s="10" t="n"/>
      <c r="F267" s="10" t="n"/>
      <c r="G267" s="12" t="n"/>
      <c r="H267" s="13" t="n"/>
      <c r="I267" s="13" t="n"/>
      <c r="J267" s="13" t="n"/>
      <c r="K267" s="13" t="n"/>
      <c r="L267" s="13" t="n"/>
      <c r="M267" s="17">
        <f>IF(A267="","",IFERROR(VLOOKUP(A267,Raw_CurrentMonth!A:O,15,FALSE)=TRUE,FALSE))</f>
        <v/>
      </c>
      <c r="N267" s="16">
        <f>IF(A267="","",IF(M267=TRUE,IFERROR(H267,0)+IFERROR(I267,0)+IFERROR(J267,0)+IFERROR(K267,0)+IFERROR(L267,0),0))</f>
        <v/>
      </c>
      <c r="O267" s="16">
        <f>IF(A267="","",IF(M267=TRUE,IFERROR(H267,0),0))</f>
        <v/>
      </c>
      <c r="P267" s="16">
        <f>IF(A267="","",IF(M267=TRUE,IFERROR(I267,0),0))</f>
        <v/>
      </c>
      <c r="Q267" s="16">
        <f>IF(A267="","",IF(M267=TRUE,IFERROR(J267,0),0))</f>
        <v/>
      </c>
      <c r="R267" s="16">
        <f>IF(A267="","",IF(M267=TRUE,IFERROR(K267,0),0))</f>
        <v/>
      </c>
      <c r="S267" s="16">
        <f>IF(A267="","",IF(M267=TRUE,IFERROR(L267,0),0))</f>
        <v/>
      </c>
      <c r="T267" s="16">
        <f>IF(A267="","",IF(M267=TRUE,IFERROR(H267,0)+IFERROR(I267,0)+IFERROR(L267,0),0))</f>
        <v/>
      </c>
    </row>
    <row r="268">
      <c r="A268" s="10" t="n"/>
      <c r="B268" s="10" t="n"/>
      <c r="C268" s="11" t="n"/>
      <c r="D268" s="11" t="n"/>
      <c r="E268" s="10" t="n"/>
      <c r="F268" s="10" t="n"/>
      <c r="G268" s="12" t="n"/>
      <c r="H268" s="13" t="n"/>
      <c r="I268" s="13" t="n"/>
      <c r="J268" s="13" t="n"/>
      <c r="K268" s="13" t="n"/>
      <c r="L268" s="13" t="n"/>
      <c r="M268" s="17">
        <f>IF(A268="","",IFERROR(VLOOKUP(A268,Raw_CurrentMonth!A:O,15,FALSE)=TRUE,FALSE))</f>
        <v/>
      </c>
      <c r="N268" s="16">
        <f>IF(A268="","",IF(M268=TRUE,IFERROR(H268,0)+IFERROR(I268,0)+IFERROR(J268,0)+IFERROR(K268,0)+IFERROR(L268,0),0))</f>
        <v/>
      </c>
      <c r="O268" s="16">
        <f>IF(A268="","",IF(M268=TRUE,IFERROR(H268,0),0))</f>
        <v/>
      </c>
      <c r="P268" s="16">
        <f>IF(A268="","",IF(M268=TRUE,IFERROR(I268,0),0))</f>
        <v/>
      </c>
      <c r="Q268" s="16">
        <f>IF(A268="","",IF(M268=TRUE,IFERROR(J268,0),0))</f>
        <v/>
      </c>
      <c r="R268" s="16">
        <f>IF(A268="","",IF(M268=TRUE,IFERROR(K268,0),0))</f>
        <v/>
      </c>
      <c r="S268" s="16">
        <f>IF(A268="","",IF(M268=TRUE,IFERROR(L268,0),0))</f>
        <v/>
      </c>
      <c r="T268" s="16">
        <f>IF(A268="","",IF(M268=TRUE,IFERROR(H268,0)+IFERROR(I268,0)+IFERROR(L268,0),0))</f>
        <v/>
      </c>
    </row>
    <row r="269">
      <c r="A269" s="10" t="n"/>
      <c r="B269" s="10" t="n"/>
      <c r="C269" s="11" t="n"/>
      <c r="D269" s="11" t="n"/>
      <c r="E269" s="10" t="n"/>
      <c r="F269" s="10" t="n"/>
      <c r="G269" s="12" t="n"/>
      <c r="H269" s="13" t="n"/>
      <c r="I269" s="13" t="n"/>
      <c r="J269" s="13" t="n"/>
      <c r="K269" s="13" t="n"/>
      <c r="L269" s="13" t="n"/>
      <c r="M269" s="17">
        <f>IF(A269="","",IFERROR(VLOOKUP(A269,Raw_CurrentMonth!A:O,15,FALSE)=TRUE,FALSE))</f>
        <v/>
      </c>
      <c r="N269" s="16">
        <f>IF(A269="","",IF(M269=TRUE,IFERROR(H269,0)+IFERROR(I269,0)+IFERROR(J269,0)+IFERROR(K269,0)+IFERROR(L269,0),0))</f>
        <v/>
      </c>
      <c r="O269" s="16">
        <f>IF(A269="","",IF(M269=TRUE,IFERROR(H269,0),0))</f>
        <v/>
      </c>
      <c r="P269" s="16">
        <f>IF(A269="","",IF(M269=TRUE,IFERROR(I269,0),0))</f>
        <v/>
      </c>
      <c r="Q269" s="16">
        <f>IF(A269="","",IF(M269=TRUE,IFERROR(J269,0),0))</f>
        <v/>
      </c>
      <c r="R269" s="16">
        <f>IF(A269="","",IF(M269=TRUE,IFERROR(K269,0),0))</f>
        <v/>
      </c>
      <c r="S269" s="16">
        <f>IF(A269="","",IF(M269=TRUE,IFERROR(L269,0),0))</f>
        <v/>
      </c>
      <c r="T269" s="16">
        <f>IF(A269="","",IF(M269=TRUE,IFERROR(H269,0)+IFERROR(I269,0)+IFERROR(L269,0),0))</f>
        <v/>
      </c>
    </row>
    <row r="270">
      <c r="A270" s="10" t="n"/>
      <c r="B270" s="10" t="n"/>
      <c r="C270" s="11" t="n"/>
      <c r="D270" s="11" t="n"/>
      <c r="E270" s="10" t="n"/>
      <c r="F270" s="10" t="n"/>
      <c r="G270" s="12" t="n"/>
      <c r="H270" s="13" t="n"/>
      <c r="I270" s="13" t="n"/>
      <c r="J270" s="13" t="n"/>
      <c r="K270" s="13" t="n"/>
      <c r="L270" s="13" t="n"/>
      <c r="M270" s="17">
        <f>IF(A270="","",IFERROR(VLOOKUP(A270,Raw_CurrentMonth!A:O,15,FALSE)=TRUE,FALSE))</f>
        <v/>
      </c>
      <c r="N270" s="16">
        <f>IF(A270="","",IF(M270=TRUE,IFERROR(H270,0)+IFERROR(I270,0)+IFERROR(J270,0)+IFERROR(K270,0)+IFERROR(L270,0),0))</f>
        <v/>
      </c>
      <c r="O270" s="16">
        <f>IF(A270="","",IF(M270=TRUE,IFERROR(H270,0),0))</f>
        <v/>
      </c>
      <c r="P270" s="16">
        <f>IF(A270="","",IF(M270=TRUE,IFERROR(I270,0),0))</f>
        <v/>
      </c>
      <c r="Q270" s="16">
        <f>IF(A270="","",IF(M270=TRUE,IFERROR(J270,0),0))</f>
        <v/>
      </c>
      <c r="R270" s="16">
        <f>IF(A270="","",IF(M270=TRUE,IFERROR(K270,0),0))</f>
        <v/>
      </c>
      <c r="S270" s="16">
        <f>IF(A270="","",IF(M270=TRUE,IFERROR(L270,0),0))</f>
        <v/>
      </c>
      <c r="T270" s="16">
        <f>IF(A270="","",IF(M270=TRUE,IFERROR(H270,0)+IFERROR(I270,0)+IFERROR(L270,0),0))</f>
        <v/>
      </c>
    </row>
    <row r="271">
      <c r="A271" s="10" t="n"/>
      <c r="B271" s="10" t="n"/>
      <c r="C271" s="11" t="n"/>
      <c r="D271" s="11" t="n"/>
      <c r="E271" s="10" t="n"/>
      <c r="F271" s="10" t="n"/>
      <c r="G271" s="12" t="n"/>
      <c r="H271" s="13" t="n"/>
      <c r="I271" s="13" t="n"/>
      <c r="J271" s="13" t="n"/>
      <c r="K271" s="13" t="n"/>
      <c r="L271" s="13" t="n"/>
      <c r="M271" s="17">
        <f>IF(A271="","",IFERROR(VLOOKUP(A271,Raw_CurrentMonth!A:O,15,FALSE)=TRUE,FALSE))</f>
        <v/>
      </c>
      <c r="N271" s="16">
        <f>IF(A271="","",IF(M271=TRUE,IFERROR(H271,0)+IFERROR(I271,0)+IFERROR(J271,0)+IFERROR(K271,0)+IFERROR(L271,0),0))</f>
        <v/>
      </c>
      <c r="O271" s="16">
        <f>IF(A271="","",IF(M271=TRUE,IFERROR(H271,0),0))</f>
        <v/>
      </c>
      <c r="P271" s="16">
        <f>IF(A271="","",IF(M271=TRUE,IFERROR(I271,0),0))</f>
        <v/>
      </c>
      <c r="Q271" s="16">
        <f>IF(A271="","",IF(M271=TRUE,IFERROR(J271,0),0))</f>
        <v/>
      </c>
      <c r="R271" s="16">
        <f>IF(A271="","",IF(M271=TRUE,IFERROR(K271,0),0))</f>
        <v/>
      </c>
      <c r="S271" s="16">
        <f>IF(A271="","",IF(M271=TRUE,IFERROR(L271,0),0))</f>
        <v/>
      </c>
      <c r="T271" s="16">
        <f>IF(A271="","",IF(M271=TRUE,IFERROR(H271,0)+IFERROR(I271,0)+IFERROR(L271,0),0))</f>
        <v/>
      </c>
    </row>
    <row r="272">
      <c r="A272" s="10" t="n"/>
      <c r="B272" s="10" t="n"/>
      <c r="C272" s="11" t="n"/>
      <c r="D272" s="11" t="n"/>
      <c r="E272" s="10" t="n"/>
      <c r="F272" s="10" t="n"/>
      <c r="G272" s="12" t="n"/>
      <c r="H272" s="13" t="n"/>
      <c r="I272" s="13" t="n"/>
      <c r="J272" s="13" t="n"/>
      <c r="K272" s="13" t="n"/>
      <c r="L272" s="13" t="n"/>
      <c r="M272" s="17">
        <f>IF(A272="","",IFERROR(VLOOKUP(A272,Raw_CurrentMonth!A:O,15,FALSE)=TRUE,FALSE))</f>
        <v/>
      </c>
      <c r="N272" s="16">
        <f>IF(A272="","",IF(M272=TRUE,IFERROR(H272,0)+IFERROR(I272,0)+IFERROR(J272,0)+IFERROR(K272,0)+IFERROR(L272,0),0))</f>
        <v/>
      </c>
      <c r="O272" s="16">
        <f>IF(A272="","",IF(M272=TRUE,IFERROR(H272,0),0))</f>
        <v/>
      </c>
      <c r="P272" s="16">
        <f>IF(A272="","",IF(M272=TRUE,IFERROR(I272,0),0))</f>
        <v/>
      </c>
      <c r="Q272" s="16">
        <f>IF(A272="","",IF(M272=TRUE,IFERROR(J272,0),0))</f>
        <v/>
      </c>
      <c r="R272" s="16">
        <f>IF(A272="","",IF(M272=TRUE,IFERROR(K272,0),0))</f>
        <v/>
      </c>
      <c r="S272" s="16">
        <f>IF(A272="","",IF(M272=TRUE,IFERROR(L272,0),0))</f>
        <v/>
      </c>
      <c r="T272" s="16">
        <f>IF(A272="","",IF(M272=TRUE,IFERROR(H272,0)+IFERROR(I272,0)+IFERROR(L272,0),0))</f>
        <v/>
      </c>
    </row>
    <row r="273">
      <c r="A273" s="10" t="n"/>
      <c r="B273" s="10" t="n"/>
      <c r="C273" s="11" t="n"/>
      <c r="D273" s="11" t="n"/>
      <c r="E273" s="10" t="n"/>
      <c r="F273" s="10" t="n"/>
      <c r="G273" s="12" t="n"/>
      <c r="H273" s="13" t="n"/>
      <c r="I273" s="13" t="n"/>
      <c r="J273" s="13" t="n"/>
      <c r="K273" s="13" t="n"/>
      <c r="L273" s="13" t="n"/>
      <c r="M273" s="17">
        <f>IF(A273="","",IFERROR(VLOOKUP(A273,Raw_CurrentMonth!A:O,15,FALSE)=TRUE,FALSE))</f>
        <v/>
      </c>
      <c r="N273" s="16">
        <f>IF(A273="","",IF(M273=TRUE,IFERROR(H273,0)+IFERROR(I273,0)+IFERROR(J273,0)+IFERROR(K273,0)+IFERROR(L273,0),0))</f>
        <v/>
      </c>
      <c r="O273" s="16">
        <f>IF(A273="","",IF(M273=TRUE,IFERROR(H273,0),0))</f>
        <v/>
      </c>
      <c r="P273" s="16">
        <f>IF(A273="","",IF(M273=TRUE,IFERROR(I273,0),0))</f>
        <v/>
      </c>
      <c r="Q273" s="16">
        <f>IF(A273="","",IF(M273=TRUE,IFERROR(J273,0),0))</f>
        <v/>
      </c>
      <c r="R273" s="16">
        <f>IF(A273="","",IF(M273=TRUE,IFERROR(K273,0),0))</f>
        <v/>
      </c>
      <c r="S273" s="16">
        <f>IF(A273="","",IF(M273=TRUE,IFERROR(L273,0),0))</f>
        <v/>
      </c>
      <c r="T273" s="16">
        <f>IF(A273="","",IF(M273=TRUE,IFERROR(H273,0)+IFERROR(I273,0)+IFERROR(L273,0),0))</f>
        <v/>
      </c>
    </row>
    <row r="274">
      <c r="A274" s="10" t="n"/>
      <c r="B274" s="10" t="n"/>
      <c r="C274" s="11" t="n"/>
      <c r="D274" s="11" t="n"/>
      <c r="E274" s="10" t="n"/>
      <c r="F274" s="10" t="n"/>
      <c r="G274" s="12" t="n"/>
      <c r="H274" s="13" t="n"/>
      <c r="I274" s="13" t="n"/>
      <c r="J274" s="13" t="n"/>
      <c r="K274" s="13" t="n"/>
      <c r="L274" s="13" t="n"/>
      <c r="M274" s="17">
        <f>IF(A274="","",IFERROR(VLOOKUP(A274,Raw_CurrentMonth!A:O,15,FALSE)=TRUE,FALSE))</f>
        <v/>
      </c>
      <c r="N274" s="16">
        <f>IF(A274="","",IF(M274=TRUE,IFERROR(H274,0)+IFERROR(I274,0)+IFERROR(J274,0)+IFERROR(K274,0)+IFERROR(L274,0),0))</f>
        <v/>
      </c>
      <c r="O274" s="16">
        <f>IF(A274="","",IF(M274=TRUE,IFERROR(H274,0),0))</f>
        <v/>
      </c>
      <c r="P274" s="16">
        <f>IF(A274="","",IF(M274=TRUE,IFERROR(I274,0),0))</f>
        <v/>
      </c>
      <c r="Q274" s="16">
        <f>IF(A274="","",IF(M274=TRUE,IFERROR(J274,0),0))</f>
        <v/>
      </c>
      <c r="R274" s="16">
        <f>IF(A274="","",IF(M274=TRUE,IFERROR(K274,0),0))</f>
        <v/>
      </c>
      <c r="S274" s="16">
        <f>IF(A274="","",IF(M274=TRUE,IFERROR(L274,0),0))</f>
        <v/>
      </c>
      <c r="T274" s="16">
        <f>IF(A274="","",IF(M274=TRUE,IFERROR(H274,0)+IFERROR(I274,0)+IFERROR(L274,0),0))</f>
        <v/>
      </c>
    </row>
    <row r="275">
      <c r="A275" s="10" t="n"/>
      <c r="B275" s="10" t="n"/>
      <c r="C275" s="11" t="n"/>
      <c r="D275" s="11" t="n"/>
      <c r="E275" s="10" t="n"/>
      <c r="F275" s="10" t="n"/>
      <c r="G275" s="12" t="n"/>
      <c r="H275" s="13" t="n"/>
      <c r="I275" s="13" t="n"/>
      <c r="J275" s="13" t="n"/>
      <c r="K275" s="13" t="n"/>
      <c r="L275" s="13" t="n"/>
      <c r="M275" s="17">
        <f>IF(A275="","",IFERROR(VLOOKUP(A275,Raw_CurrentMonth!A:O,15,FALSE)=TRUE,FALSE))</f>
        <v/>
      </c>
      <c r="N275" s="16">
        <f>IF(A275="","",IF(M275=TRUE,IFERROR(H275,0)+IFERROR(I275,0)+IFERROR(J275,0)+IFERROR(K275,0)+IFERROR(L275,0),0))</f>
        <v/>
      </c>
      <c r="O275" s="16">
        <f>IF(A275="","",IF(M275=TRUE,IFERROR(H275,0),0))</f>
        <v/>
      </c>
      <c r="P275" s="16">
        <f>IF(A275="","",IF(M275=TRUE,IFERROR(I275,0),0))</f>
        <v/>
      </c>
      <c r="Q275" s="16">
        <f>IF(A275="","",IF(M275=TRUE,IFERROR(J275,0),0))</f>
        <v/>
      </c>
      <c r="R275" s="16">
        <f>IF(A275="","",IF(M275=TRUE,IFERROR(K275,0),0))</f>
        <v/>
      </c>
      <c r="S275" s="16">
        <f>IF(A275="","",IF(M275=TRUE,IFERROR(L275,0),0))</f>
        <v/>
      </c>
      <c r="T275" s="16">
        <f>IF(A275="","",IF(M275=TRUE,IFERROR(H275,0)+IFERROR(I275,0)+IFERROR(L275,0),0))</f>
        <v/>
      </c>
    </row>
    <row r="276">
      <c r="A276" s="10" t="n"/>
      <c r="B276" s="10" t="n"/>
      <c r="C276" s="11" t="n"/>
      <c r="D276" s="11" t="n"/>
      <c r="E276" s="10" t="n"/>
      <c r="F276" s="10" t="n"/>
      <c r="G276" s="12" t="n"/>
      <c r="H276" s="13" t="n"/>
      <c r="I276" s="13" t="n"/>
      <c r="J276" s="13" t="n"/>
      <c r="K276" s="13" t="n"/>
      <c r="L276" s="13" t="n"/>
      <c r="M276" s="17">
        <f>IF(A276="","",IFERROR(VLOOKUP(A276,Raw_CurrentMonth!A:O,15,FALSE)=TRUE,FALSE))</f>
        <v/>
      </c>
      <c r="N276" s="16">
        <f>IF(A276="","",IF(M276=TRUE,IFERROR(H276,0)+IFERROR(I276,0)+IFERROR(J276,0)+IFERROR(K276,0)+IFERROR(L276,0),0))</f>
        <v/>
      </c>
      <c r="O276" s="16">
        <f>IF(A276="","",IF(M276=TRUE,IFERROR(H276,0),0))</f>
        <v/>
      </c>
      <c r="P276" s="16">
        <f>IF(A276="","",IF(M276=TRUE,IFERROR(I276,0),0))</f>
        <v/>
      </c>
      <c r="Q276" s="16">
        <f>IF(A276="","",IF(M276=TRUE,IFERROR(J276,0),0))</f>
        <v/>
      </c>
      <c r="R276" s="16">
        <f>IF(A276="","",IF(M276=TRUE,IFERROR(K276,0),0))</f>
        <v/>
      </c>
      <c r="S276" s="16">
        <f>IF(A276="","",IF(M276=TRUE,IFERROR(L276,0),0))</f>
        <v/>
      </c>
      <c r="T276" s="16">
        <f>IF(A276="","",IF(M276=TRUE,IFERROR(H276,0)+IFERROR(I276,0)+IFERROR(L276,0),0))</f>
        <v/>
      </c>
    </row>
    <row r="277">
      <c r="A277" s="10" t="n"/>
      <c r="B277" s="10" t="n"/>
      <c r="C277" s="11" t="n"/>
      <c r="D277" s="11" t="n"/>
      <c r="E277" s="10" t="n"/>
      <c r="F277" s="10" t="n"/>
      <c r="G277" s="12" t="n"/>
      <c r="H277" s="13" t="n"/>
      <c r="I277" s="13" t="n"/>
      <c r="J277" s="13" t="n"/>
      <c r="K277" s="13" t="n"/>
      <c r="L277" s="13" t="n"/>
      <c r="M277" s="17">
        <f>IF(A277="","",IFERROR(VLOOKUP(A277,Raw_CurrentMonth!A:O,15,FALSE)=TRUE,FALSE))</f>
        <v/>
      </c>
      <c r="N277" s="16">
        <f>IF(A277="","",IF(M277=TRUE,IFERROR(H277,0)+IFERROR(I277,0)+IFERROR(J277,0)+IFERROR(K277,0)+IFERROR(L277,0),0))</f>
        <v/>
      </c>
      <c r="O277" s="16">
        <f>IF(A277="","",IF(M277=TRUE,IFERROR(H277,0),0))</f>
        <v/>
      </c>
      <c r="P277" s="16">
        <f>IF(A277="","",IF(M277=TRUE,IFERROR(I277,0),0))</f>
        <v/>
      </c>
      <c r="Q277" s="16">
        <f>IF(A277="","",IF(M277=TRUE,IFERROR(J277,0),0))</f>
        <v/>
      </c>
      <c r="R277" s="16">
        <f>IF(A277="","",IF(M277=TRUE,IFERROR(K277,0),0))</f>
        <v/>
      </c>
      <c r="S277" s="16">
        <f>IF(A277="","",IF(M277=TRUE,IFERROR(L277,0),0))</f>
        <v/>
      </c>
      <c r="T277" s="16">
        <f>IF(A277="","",IF(M277=TRUE,IFERROR(H277,0)+IFERROR(I277,0)+IFERROR(L277,0),0))</f>
        <v/>
      </c>
    </row>
    <row r="278">
      <c r="A278" s="10" t="n"/>
      <c r="B278" s="10" t="n"/>
      <c r="C278" s="11" t="n"/>
      <c r="D278" s="11" t="n"/>
      <c r="E278" s="10" t="n"/>
      <c r="F278" s="10" t="n"/>
      <c r="G278" s="12" t="n"/>
      <c r="H278" s="13" t="n"/>
      <c r="I278" s="13" t="n"/>
      <c r="J278" s="13" t="n"/>
      <c r="K278" s="13" t="n"/>
      <c r="L278" s="13" t="n"/>
      <c r="M278" s="17">
        <f>IF(A278="","",IFERROR(VLOOKUP(A278,Raw_CurrentMonth!A:O,15,FALSE)=TRUE,FALSE))</f>
        <v/>
      </c>
      <c r="N278" s="16">
        <f>IF(A278="","",IF(M278=TRUE,IFERROR(H278,0)+IFERROR(I278,0)+IFERROR(J278,0)+IFERROR(K278,0)+IFERROR(L278,0),0))</f>
        <v/>
      </c>
      <c r="O278" s="16">
        <f>IF(A278="","",IF(M278=TRUE,IFERROR(H278,0),0))</f>
        <v/>
      </c>
      <c r="P278" s="16">
        <f>IF(A278="","",IF(M278=TRUE,IFERROR(I278,0),0))</f>
        <v/>
      </c>
      <c r="Q278" s="16">
        <f>IF(A278="","",IF(M278=TRUE,IFERROR(J278,0),0))</f>
        <v/>
      </c>
      <c r="R278" s="16">
        <f>IF(A278="","",IF(M278=TRUE,IFERROR(K278,0),0))</f>
        <v/>
      </c>
      <c r="S278" s="16">
        <f>IF(A278="","",IF(M278=TRUE,IFERROR(L278,0),0))</f>
        <v/>
      </c>
      <c r="T278" s="16">
        <f>IF(A278="","",IF(M278=TRUE,IFERROR(H278,0)+IFERROR(I278,0)+IFERROR(L278,0),0))</f>
        <v/>
      </c>
    </row>
    <row r="279">
      <c r="A279" s="10" t="n"/>
      <c r="B279" s="10" t="n"/>
      <c r="C279" s="11" t="n"/>
      <c r="D279" s="11" t="n"/>
      <c r="E279" s="10" t="n"/>
      <c r="F279" s="10" t="n"/>
      <c r="G279" s="12" t="n"/>
      <c r="H279" s="13" t="n"/>
      <c r="I279" s="13" t="n"/>
      <c r="J279" s="13" t="n"/>
      <c r="K279" s="13" t="n"/>
      <c r="L279" s="13" t="n"/>
      <c r="M279" s="17">
        <f>IF(A279="","",IFERROR(VLOOKUP(A279,Raw_CurrentMonth!A:O,15,FALSE)=TRUE,FALSE))</f>
        <v/>
      </c>
      <c r="N279" s="16">
        <f>IF(A279="","",IF(M279=TRUE,IFERROR(H279,0)+IFERROR(I279,0)+IFERROR(J279,0)+IFERROR(K279,0)+IFERROR(L279,0),0))</f>
        <v/>
      </c>
      <c r="O279" s="16">
        <f>IF(A279="","",IF(M279=TRUE,IFERROR(H279,0),0))</f>
        <v/>
      </c>
      <c r="P279" s="16">
        <f>IF(A279="","",IF(M279=TRUE,IFERROR(I279,0),0))</f>
        <v/>
      </c>
      <c r="Q279" s="16">
        <f>IF(A279="","",IF(M279=TRUE,IFERROR(J279,0),0))</f>
        <v/>
      </c>
      <c r="R279" s="16">
        <f>IF(A279="","",IF(M279=TRUE,IFERROR(K279,0),0))</f>
        <v/>
      </c>
      <c r="S279" s="16">
        <f>IF(A279="","",IF(M279=TRUE,IFERROR(L279,0),0))</f>
        <v/>
      </c>
      <c r="T279" s="16">
        <f>IF(A279="","",IF(M279=TRUE,IFERROR(H279,0)+IFERROR(I279,0)+IFERROR(L279,0),0))</f>
        <v/>
      </c>
    </row>
    <row r="280">
      <c r="A280" s="10" t="n"/>
      <c r="B280" s="10" t="n"/>
      <c r="C280" s="11" t="n"/>
      <c r="D280" s="11" t="n"/>
      <c r="E280" s="10" t="n"/>
      <c r="F280" s="10" t="n"/>
      <c r="G280" s="12" t="n"/>
      <c r="H280" s="13" t="n"/>
      <c r="I280" s="13" t="n"/>
      <c r="J280" s="13" t="n"/>
      <c r="K280" s="13" t="n"/>
      <c r="L280" s="13" t="n"/>
      <c r="M280" s="17">
        <f>IF(A280="","",IFERROR(VLOOKUP(A280,Raw_CurrentMonth!A:O,15,FALSE)=TRUE,FALSE))</f>
        <v/>
      </c>
      <c r="N280" s="16">
        <f>IF(A280="","",IF(M280=TRUE,IFERROR(H280,0)+IFERROR(I280,0)+IFERROR(J280,0)+IFERROR(K280,0)+IFERROR(L280,0),0))</f>
        <v/>
      </c>
      <c r="O280" s="16">
        <f>IF(A280="","",IF(M280=TRUE,IFERROR(H280,0),0))</f>
        <v/>
      </c>
      <c r="P280" s="16">
        <f>IF(A280="","",IF(M280=TRUE,IFERROR(I280,0),0))</f>
        <v/>
      </c>
      <c r="Q280" s="16">
        <f>IF(A280="","",IF(M280=TRUE,IFERROR(J280,0),0))</f>
        <v/>
      </c>
      <c r="R280" s="16">
        <f>IF(A280="","",IF(M280=TRUE,IFERROR(K280,0),0))</f>
        <v/>
      </c>
      <c r="S280" s="16">
        <f>IF(A280="","",IF(M280=TRUE,IFERROR(L280,0),0))</f>
        <v/>
      </c>
      <c r="T280" s="16">
        <f>IF(A280="","",IF(M280=TRUE,IFERROR(H280,0)+IFERROR(I280,0)+IFERROR(L280,0),0))</f>
        <v/>
      </c>
    </row>
    <row r="281">
      <c r="A281" s="10" t="n"/>
      <c r="B281" s="10" t="n"/>
      <c r="C281" s="11" t="n"/>
      <c r="D281" s="11" t="n"/>
      <c r="E281" s="10" t="n"/>
      <c r="F281" s="10" t="n"/>
      <c r="G281" s="12" t="n"/>
      <c r="H281" s="13" t="n"/>
      <c r="I281" s="13" t="n"/>
      <c r="J281" s="13" t="n"/>
      <c r="K281" s="13" t="n"/>
      <c r="L281" s="13" t="n"/>
      <c r="M281" s="17">
        <f>IF(A281="","",IFERROR(VLOOKUP(A281,Raw_CurrentMonth!A:O,15,FALSE)=TRUE,FALSE))</f>
        <v/>
      </c>
      <c r="N281" s="16">
        <f>IF(A281="","",IF(M281=TRUE,IFERROR(H281,0)+IFERROR(I281,0)+IFERROR(J281,0)+IFERROR(K281,0)+IFERROR(L281,0),0))</f>
        <v/>
      </c>
      <c r="O281" s="16">
        <f>IF(A281="","",IF(M281=TRUE,IFERROR(H281,0),0))</f>
        <v/>
      </c>
      <c r="P281" s="16">
        <f>IF(A281="","",IF(M281=TRUE,IFERROR(I281,0),0))</f>
        <v/>
      </c>
      <c r="Q281" s="16">
        <f>IF(A281="","",IF(M281=TRUE,IFERROR(J281,0),0))</f>
        <v/>
      </c>
      <c r="R281" s="16">
        <f>IF(A281="","",IF(M281=TRUE,IFERROR(K281,0),0))</f>
        <v/>
      </c>
      <c r="S281" s="16">
        <f>IF(A281="","",IF(M281=TRUE,IFERROR(L281,0),0))</f>
        <v/>
      </c>
      <c r="T281" s="16">
        <f>IF(A281="","",IF(M281=TRUE,IFERROR(H281,0)+IFERROR(I281,0)+IFERROR(L281,0),0))</f>
        <v/>
      </c>
    </row>
    <row r="282">
      <c r="A282" s="10" t="n"/>
      <c r="B282" s="10" t="n"/>
      <c r="C282" s="11" t="n"/>
      <c r="D282" s="11" t="n"/>
      <c r="E282" s="10" t="n"/>
      <c r="F282" s="10" t="n"/>
      <c r="G282" s="12" t="n"/>
      <c r="H282" s="13" t="n"/>
      <c r="I282" s="13" t="n"/>
      <c r="J282" s="13" t="n"/>
      <c r="K282" s="13" t="n"/>
      <c r="L282" s="13" t="n"/>
      <c r="M282" s="17">
        <f>IF(A282="","",IFERROR(VLOOKUP(A282,Raw_CurrentMonth!A:O,15,FALSE)=TRUE,FALSE))</f>
        <v/>
      </c>
      <c r="N282" s="16">
        <f>IF(A282="","",IF(M282=TRUE,IFERROR(H282,0)+IFERROR(I282,0)+IFERROR(J282,0)+IFERROR(K282,0)+IFERROR(L282,0),0))</f>
        <v/>
      </c>
      <c r="O282" s="16">
        <f>IF(A282="","",IF(M282=TRUE,IFERROR(H282,0),0))</f>
        <v/>
      </c>
      <c r="P282" s="16">
        <f>IF(A282="","",IF(M282=TRUE,IFERROR(I282,0),0))</f>
        <v/>
      </c>
      <c r="Q282" s="16">
        <f>IF(A282="","",IF(M282=TRUE,IFERROR(J282,0),0))</f>
        <v/>
      </c>
      <c r="R282" s="16">
        <f>IF(A282="","",IF(M282=TRUE,IFERROR(K282,0),0))</f>
        <v/>
      </c>
      <c r="S282" s="16">
        <f>IF(A282="","",IF(M282=TRUE,IFERROR(L282,0),0))</f>
        <v/>
      </c>
      <c r="T282" s="16">
        <f>IF(A282="","",IF(M282=TRUE,IFERROR(H282,0)+IFERROR(I282,0)+IFERROR(L282,0),0))</f>
        <v/>
      </c>
    </row>
    <row r="283">
      <c r="A283" s="10" t="n"/>
      <c r="B283" s="10" t="n"/>
      <c r="C283" s="11" t="n"/>
      <c r="D283" s="11" t="n"/>
      <c r="E283" s="10" t="n"/>
      <c r="F283" s="10" t="n"/>
      <c r="G283" s="12" t="n"/>
      <c r="H283" s="13" t="n"/>
      <c r="I283" s="13" t="n"/>
      <c r="J283" s="13" t="n"/>
      <c r="K283" s="13" t="n"/>
      <c r="L283" s="13" t="n"/>
      <c r="M283" s="17">
        <f>IF(A283="","",IFERROR(VLOOKUP(A283,Raw_CurrentMonth!A:O,15,FALSE)=TRUE,FALSE))</f>
        <v/>
      </c>
      <c r="N283" s="16">
        <f>IF(A283="","",IF(M283=TRUE,IFERROR(H283,0)+IFERROR(I283,0)+IFERROR(J283,0)+IFERROR(K283,0)+IFERROR(L283,0),0))</f>
        <v/>
      </c>
      <c r="O283" s="16">
        <f>IF(A283="","",IF(M283=TRUE,IFERROR(H283,0),0))</f>
        <v/>
      </c>
      <c r="P283" s="16">
        <f>IF(A283="","",IF(M283=TRUE,IFERROR(I283,0),0))</f>
        <v/>
      </c>
      <c r="Q283" s="16">
        <f>IF(A283="","",IF(M283=TRUE,IFERROR(J283,0),0))</f>
        <v/>
      </c>
      <c r="R283" s="16">
        <f>IF(A283="","",IF(M283=TRUE,IFERROR(K283,0),0))</f>
        <v/>
      </c>
      <c r="S283" s="16">
        <f>IF(A283="","",IF(M283=TRUE,IFERROR(L283,0),0))</f>
        <v/>
      </c>
      <c r="T283" s="16">
        <f>IF(A283="","",IF(M283=TRUE,IFERROR(H283,0)+IFERROR(I283,0)+IFERROR(L283,0),0))</f>
        <v/>
      </c>
    </row>
    <row r="284">
      <c r="A284" s="10" t="n"/>
      <c r="B284" s="10" t="n"/>
      <c r="C284" s="11" t="n"/>
      <c r="D284" s="11" t="n"/>
      <c r="E284" s="10" t="n"/>
      <c r="F284" s="10" t="n"/>
      <c r="G284" s="12" t="n"/>
      <c r="H284" s="13" t="n"/>
      <c r="I284" s="13" t="n"/>
      <c r="J284" s="13" t="n"/>
      <c r="K284" s="13" t="n"/>
      <c r="L284" s="13" t="n"/>
      <c r="M284" s="17">
        <f>IF(A284="","",IFERROR(VLOOKUP(A284,Raw_CurrentMonth!A:O,15,FALSE)=TRUE,FALSE))</f>
        <v/>
      </c>
      <c r="N284" s="16">
        <f>IF(A284="","",IF(M284=TRUE,IFERROR(H284,0)+IFERROR(I284,0)+IFERROR(J284,0)+IFERROR(K284,0)+IFERROR(L284,0),0))</f>
        <v/>
      </c>
      <c r="O284" s="16">
        <f>IF(A284="","",IF(M284=TRUE,IFERROR(H284,0),0))</f>
        <v/>
      </c>
      <c r="P284" s="16">
        <f>IF(A284="","",IF(M284=TRUE,IFERROR(I284,0),0))</f>
        <v/>
      </c>
      <c r="Q284" s="16">
        <f>IF(A284="","",IF(M284=TRUE,IFERROR(J284,0),0))</f>
        <v/>
      </c>
      <c r="R284" s="16">
        <f>IF(A284="","",IF(M284=TRUE,IFERROR(K284,0),0))</f>
        <v/>
      </c>
      <c r="S284" s="16">
        <f>IF(A284="","",IF(M284=TRUE,IFERROR(L284,0),0))</f>
        <v/>
      </c>
      <c r="T284" s="16">
        <f>IF(A284="","",IF(M284=TRUE,IFERROR(H284,0)+IFERROR(I284,0)+IFERROR(L284,0),0))</f>
        <v/>
      </c>
    </row>
    <row r="285">
      <c r="A285" s="10" t="n"/>
      <c r="B285" s="10" t="n"/>
      <c r="C285" s="11" t="n"/>
      <c r="D285" s="11" t="n"/>
      <c r="E285" s="10" t="n"/>
      <c r="F285" s="10" t="n"/>
      <c r="G285" s="12" t="n"/>
      <c r="H285" s="13" t="n"/>
      <c r="I285" s="13" t="n"/>
      <c r="J285" s="13" t="n"/>
      <c r="K285" s="13" t="n"/>
      <c r="L285" s="13" t="n"/>
      <c r="M285" s="17">
        <f>IF(A285="","",IFERROR(VLOOKUP(A285,Raw_CurrentMonth!A:O,15,FALSE)=TRUE,FALSE))</f>
        <v/>
      </c>
      <c r="N285" s="16">
        <f>IF(A285="","",IF(M285=TRUE,IFERROR(H285,0)+IFERROR(I285,0)+IFERROR(J285,0)+IFERROR(K285,0)+IFERROR(L285,0),0))</f>
        <v/>
      </c>
      <c r="O285" s="16">
        <f>IF(A285="","",IF(M285=TRUE,IFERROR(H285,0),0))</f>
        <v/>
      </c>
      <c r="P285" s="16">
        <f>IF(A285="","",IF(M285=TRUE,IFERROR(I285,0),0))</f>
        <v/>
      </c>
      <c r="Q285" s="16">
        <f>IF(A285="","",IF(M285=TRUE,IFERROR(J285,0),0))</f>
        <v/>
      </c>
      <c r="R285" s="16">
        <f>IF(A285="","",IF(M285=TRUE,IFERROR(K285,0),0))</f>
        <v/>
      </c>
      <c r="S285" s="16">
        <f>IF(A285="","",IF(M285=TRUE,IFERROR(L285,0),0))</f>
        <v/>
      </c>
      <c r="T285" s="16">
        <f>IF(A285="","",IF(M285=TRUE,IFERROR(H285,0)+IFERROR(I285,0)+IFERROR(L285,0),0))</f>
        <v/>
      </c>
    </row>
    <row r="286">
      <c r="A286" s="10" t="n"/>
      <c r="B286" s="10" t="n"/>
      <c r="C286" s="11" t="n"/>
      <c r="D286" s="11" t="n"/>
      <c r="E286" s="10" t="n"/>
      <c r="F286" s="10" t="n"/>
      <c r="G286" s="12" t="n"/>
      <c r="H286" s="13" t="n"/>
      <c r="I286" s="13" t="n"/>
      <c r="J286" s="13" t="n"/>
      <c r="K286" s="13" t="n"/>
      <c r="L286" s="13" t="n"/>
      <c r="M286" s="17">
        <f>IF(A286="","",IFERROR(VLOOKUP(A286,Raw_CurrentMonth!A:O,15,FALSE)=TRUE,FALSE))</f>
        <v/>
      </c>
      <c r="N286" s="16">
        <f>IF(A286="","",IF(M286=TRUE,IFERROR(H286,0)+IFERROR(I286,0)+IFERROR(J286,0)+IFERROR(K286,0)+IFERROR(L286,0),0))</f>
        <v/>
      </c>
      <c r="O286" s="16">
        <f>IF(A286="","",IF(M286=TRUE,IFERROR(H286,0),0))</f>
        <v/>
      </c>
      <c r="P286" s="16">
        <f>IF(A286="","",IF(M286=TRUE,IFERROR(I286,0),0))</f>
        <v/>
      </c>
      <c r="Q286" s="16">
        <f>IF(A286="","",IF(M286=TRUE,IFERROR(J286,0),0))</f>
        <v/>
      </c>
      <c r="R286" s="16">
        <f>IF(A286="","",IF(M286=TRUE,IFERROR(K286,0),0))</f>
        <v/>
      </c>
      <c r="S286" s="16">
        <f>IF(A286="","",IF(M286=TRUE,IFERROR(L286,0),0))</f>
        <v/>
      </c>
      <c r="T286" s="16">
        <f>IF(A286="","",IF(M286=TRUE,IFERROR(H286,0)+IFERROR(I286,0)+IFERROR(L286,0),0))</f>
        <v/>
      </c>
    </row>
    <row r="287">
      <c r="A287" s="10" t="n"/>
      <c r="B287" s="10" t="n"/>
      <c r="C287" s="11" t="n"/>
      <c r="D287" s="11" t="n"/>
      <c r="E287" s="10" t="n"/>
      <c r="F287" s="10" t="n"/>
      <c r="G287" s="12" t="n"/>
      <c r="H287" s="13" t="n"/>
      <c r="I287" s="13" t="n"/>
      <c r="J287" s="13" t="n"/>
      <c r="K287" s="13" t="n"/>
      <c r="L287" s="13" t="n"/>
      <c r="M287" s="17">
        <f>IF(A287="","",IFERROR(VLOOKUP(A287,Raw_CurrentMonth!A:O,15,FALSE)=TRUE,FALSE))</f>
        <v/>
      </c>
      <c r="N287" s="16">
        <f>IF(A287="","",IF(M287=TRUE,IFERROR(H287,0)+IFERROR(I287,0)+IFERROR(J287,0)+IFERROR(K287,0)+IFERROR(L287,0),0))</f>
        <v/>
      </c>
      <c r="O287" s="16">
        <f>IF(A287="","",IF(M287=TRUE,IFERROR(H287,0),0))</f>
        <v/>
      </c>
      <c r="P287" s="16">
        <f>IF(A287="","",IF(M287=TRUE,IFERROR(I287,0),0))</f>
        <v/>
      </c>
      <c r="Q287" s="16">
        <f>IF(A287="","",IF(M287=TRUE,IFERROR(J287,0),0))</f>
        <v/>
      </c>
      <c r="R287" s="16">
        <f>IF(A287="","",IF(M287=TRUE,IFERROR(K287,0),0))</f>
        <v/>
      </c>
      <c r="S287" s="16">
        <f>IF(A287="","",IF(M287=TRUE,IFERROR(L287,0),0))</f>
        <v/>
      </c>
      <c r="T287" s="16">
        <f>IF(A287="","",IF(M287=TRUE,IFERROR(H287,0)+IFERROR(I287,0)+IFERROR(L287,0),0))</f>
        <v/>
      </c>
    </row>
    <row r="288">
      <c r="A288" s="10" t="n"/>
      <c r="B288" s="10" t="n"/>
      <c r="C288" s="11" t="n"/>
      <c r="D288" s="11" t="n"/>
      <c r="E288" s="10" t="n"/>
      <c r="F288" s="10" t="n"/>
      <c r="G288" s="12" t="n"/>
      <c r="H288" s="13" t="n"/>
      <c r="I288" s="13" t="n"/>
      <c r="J288" s="13" t="n"/>
      <c r="K288" s="13" t="n"/>
      <c r="L288" s="13" t="n"/>
      <c r="M288" s="17">
        <f>IF(A288="","",IFERROR(VLOOKUP(A288,Raw_CurrentMonth!A:O,15,FALSE)=TRUE,FALSE))</f>
        <v/>
      </c>
      <c r="N288" s="16">
        <f>IF(A288="","",IF(M288=TRUE,IFERROR(H288,0)+IFERROR(I288,0)+IFERROR(J288,0)+IFERROR(K288,0)+IFERROR(L288,0),0))</f>
        <v/>
      </c>
      <c r="O288" s="16">
        <f>IF(A288="","",IF(M288=TRUE,IFERROR(H288,0),0))</f>
        <v/>
      </c>
      <c r="P288" s="16">
        <f>IF(A288="","",IF(M288=TRUE,IFERROR(I288,0),0))</f>
        <v/>
      </c>
      <c r="Q288" s="16">
        <f>IF(A288="","",IF(M288=TRUE,IFERROR(J288,0),0))</f>
        <v/>
      </c>
      <c r="R288" s="16">
        <f>IF(A288="","",IF(M288=TRUE,IFERROR(K288,0),0))</f>
        <v/>
      </c>
      <c r="S288" s="16">
        <f>IF(A288="","",IF(M288=TRUE,IFERROR(L288,0),0))</f>
        <v/>
      </c>
      <c r="T288" s="16">
        <f>IF(A288="","",IF(M288=TRUE,IFERROR(H288,0)+IFERROR(I288,0)+IFERROR(L288,0),0))</f>
        <v/>
      </c>
    </row>
    <row r="289">
      <c r="A289" s="10" t="n"/>
      <c r="B289" s="10" t="n"/>
      <c r="C289" s="11" t="n"/>
      <c r="D289" s="11" t="n"/>
      <c r="E289" s="10" t="n"/>
      <c r="F289" s="10" t="n"/>
      <c r="G289" s="12" t="n"/>
      <c r="H289" s="13" t="n"/>
      <c r="I289" s="13" t="n"/>
      <c r="J289" s="13" t="n"/>
      <c r="K289" s="13" t="n"/>
      <c r="L289" s="13" t="n"/>
      <c r="M289" s="17">
        <f>IF(A289="","",IFERROR(VLOOKUP(A289,Raw_CurrentMonth!A:O,15,FALSE)=TRUE,FALSE))</f>
        <v/>
      </c>
      <c r="N289" s="16">
        <f>IF(A289="","",IF(M289=TRUE,IFERROR(H289,0)+IFERROR(I289,0)+IFERROR(J289,0)+IFERROR(K289,0)+IFERROR(L289,0),0))</f>
        <v/>
      </c>
      <c r="O289" s="16">
        <f>IF(A289="","",IF(M289=TRUE,IFERROR(H289,0),0))</f>
        <v/>
      </c>
      <c r="P289" s="16">
        <f>IF(A289="","",IF(M289=TRUE,IFERROR(I289,0),0))</f>
        <v/>
      </c>
      <c r="Q289" s="16">
        <f>IF(A289="","",IF(M289=TRUE,IFERROR(J289,0),0))</f>
        <v/>
      </c>
      <c r="R289" s="16">
        <f>IF(A289="","",IF(M289=TRUE,IFERROR(K289,0),0))</f>
        <v/>
      </c>
      <c r="S289" s="16">
        <f>IF(A289="","",IF(M289=TRUE,IFERROR(L289,0),0))</f>
        <v/>
      </c>
      <c r="T289" s="16">
        <f>IF(A289="","",IF(M289=TRUE,IFERROR(H289,0)+IFERROR(I289,0)+IFERROR(L289,0),0))</f>
        <v/>
      </c>
    </row>
    <row r="290">
      <c r="A290" s="10" t="n"/>
      <c r="B290" s="10" t="n"/>
      <c r="C290" s="11" t="n"/>
      <c r="D290" s="11" t="n"/>
      <c r="E290" s="10" t="n"/>
      <c r="F290" s="10" t="n"/>
      <c r="G290" s="12" t="n"/>
      <c r="H290" s="13" t="n"/>
      <c r="I290" s="13" t="n"/>
      <c r="J290" s="13" t="n"/>
      <c r="K290" s="13" t="n"/>
      <c r="L290" s="13" t="n"/>
      <c r="M290" s="17">
        <f>IF(A290="","",IFERROR(VLOOKUP(A290,Raw_CurrentMonth!A:O,15,FALSE)=TRUE,FALSE))</f>
        <v/>
      </c>
      <c r="N290" s="16">
        <f>IF(A290="","",IF(M290=TRUE,IFERROR(H290,0)+IFERROR(I290,0)+IFERROR(J290,0)+IFERROR(K290,0)+IFERROR(L290,0),0))</f>
        <v/>
      </c>
      <c r="O290" s="16">
        <f>IF(A290="","",IF(M290=TRUE,IFERROR(H290,0),0))</f>
        <v/>
      </c>
      <c r="P290" s="16">
        <f>IF(A290="","",IF(M290=TRUE,IFERROR(I290,0),0))</f>
        <v/>
      </c>
      <c r="Q290" s="16">
        <f>IF(A290="","",IF(M290=TRUE,IFERROR(J290,0),0))</f>
        <v/>
      </c>
      <c r="R290" s="16">
        <f>IF(A290="","",IF(M290=TRUE,IFERROR(K290,0),0))</f>
        <v/>
      </c>
      <c r="S290" s="16">
        <f>IF(A290="","",IF(M290=TRUE,IFERROR(L290,0),0))</f>
        <v/>
      </c>
      <c r="T290" s="16">
        <f>IF(A290="","",IF(M290=TRUE,IFERROR(H290,0)+IFERROR(I290,0)+IFERROR(L290,0),0))</f>
        <v/>
      </c>
    </row>
    <row r="291">
      <c r="A291" s="10" t="n"/>
      <c r="B291" s="10" t="n"/>
      <c r="C291" s="11" t="n"/>
      <c r="D291" s="11" t="n"/>
      <c r="E291" s="10" t="n"/>
      <c r="F291" s="10" t="n"/>
      <c r="G291" s="12" t="n"/>
      <c r="H291" s="13" t="n"/>
      <c r="I291" s="13" t="n"/>
      <c r="J291" s="13" t="n"/>
      <c r="K291" s="13" t="n"/>
      <c r="L291" s="13" t="n"/>
      <c r="M291" s="17">
        <f>IF(A291="","",IFERROR(VLOOKUP(A291,Raw_CurrentMonth!A:O,15,FALSE)=TRUE,FALSE))</f>
        <v/>
      </c>
      <c r="N291" s="16">
        <f>IF(A291="","",IF(M291=TRUE,IFERROR(H291,0)+IFERROR(I291,0)+IFERROR(J291,0)+IFERROR(K291,0)+IFERROR(L291,0),0))</f>
        <v/>
      </c>
      <c r="O291" s="16">
        <f>IF(A291="","",IF(M291=TRUE,IFERROR(H291,0),0))</f>
        <v/>
      </c>
      <c r="P291" s="16">
        <f>IF(A291="","",IF(M291=TRUE,IFERROR(I291,0),0))</f>
        <v/>
      </c>
      <c r="Q291" s="16">
        <f>IF(A291="","",IF(M291=TRUE,IFERROR(J291,0),0))</f>
        <v/>
      </c>
      <c r="R291" s="16">
        <f>IF(A291="","",IF(M291=TRUE,IFERROR(K291,0),0))</f>
        <v/>
      </c>
      <c r="S291" s="16">
        <f>IF(A291="","",IF(M291=TRUE,IFERROR(L291,0),0))</f>
        <v/>
      </c>
      <c r="T291" s="16">
        <f>IF(A291="","",IF(M291=TRUE,IFERROR(H291,0)+IFERROR(I291,0)+IFERROR(L291,0),0))</f>
        <v/>
      </c>
    </row>
    <row r="292">
      <c r="A292" s="10" t="n"/>
      <c r="B292" s="10" t="n"/>
      <c r="C292" s="11" t="n"/>
      <c r="D292" s="11" t="n"/>
      <c r="E292" s="10" t="n"/>
      <c r="F292" s="10" t="n"/>
      <c r="G292" s="12" t="n"/>
      <c r="H292" s="13" t="n"/>
      <c r="I292" s="13" t="n"/>
      <c r="J292" s="13" t="n"/>
      <c r="K292" s="13" t="n"/>
      <c r="L292" s="13" t="n"/>
      <c r="M292" s="17">
        <f>IF(A292="","",IFERROR(VLOOKUP(A292,Raw_CurrentMonth!A:O,15,FALSE)=TRUE,FALSE))</f>
        <v/>
      </c>
      <c r="N292" s="16">
        <f>IF(A292="","",IF(M292=TRUE,IFERROR(H292,0)+IFERROR(I292,0)+IFERROR(J292,0)+IFERROR(K292,0)+IFERROR(L292,0),0))</f>
        <v/>
      </c>
      <c r="O292" s="16">
        <f>IF(A292="","",IF(M292=TRUE,IFERROR(H292,0),0))</f>
        <v/>
      </c>
      <c r="P292" s="16">
        <f>IF(A292="","",IF(M292=TRUE,IFERROR(I292,0),0))</f>
        <v/>
      </c>
      <c r="Q292" s="16">
        <f>IF(A292="","",IF(M292=TRUE,IFERROR(J292,0),0))</f>
        <v/>
      </c>
      <c r="R292" s="16">
        <f>IF(A292="","",IF(M292=TRUE,IFERROR(K292,0),0))</f>
        <v/>
      </c>
      <c r="S292" s="16">
        <f>IF(A292="","",IF(M292=TRUE,IFERROR(L292,0),0))</f>
        <v/>
      </c>
      <c r="T292" s="16">
        <f>IF(A292="","",IF(M292=TRUE,IFERROR(H292,0)+IFERROR(I292,0)+IFERROR(L292,0),0))</f>
        <v/>
      </c>
    </row>
    <row r="293">
      <c r="A293" s="10" t="n"/>
      <c r="B293" s="10" t="n"/>
      <c r="C293" s="11" t="n"/>
      <c r="D293" s="11" t="n"/>
      <c r="E293" s="10" t="n"/>
      <c r="F293" s="10" t="n"/>
      <c r="G293" s="12" t="n"/>
      <c r="H293" s="13" t="n"/>
      <c r="I293" s="13" t="n"/>
      <c r="J293" s="13" t="n"/>
      <c r="K293" s="13" t="n"/>
      <c r="L293" s="13" t="n"/>
      <c r="M293" s="17">
        <f>IF(A293="","",IFERROR(VLOOKUP(A293,Raw_CurrentMonth!A:O,15,FALSE)=TRUE,FALSE))</f>
        <v/>
      </c>
      <c r="N293" s="16">
        <f>IF(A293="","",IF(M293=TRUE,IFERROR(H293,0)+IFERROR(I293,0)+IFERROR(J293,0)+IFERROR(K293,0)+IFERROR(L293,0),0))</f>
        <v/>
      </c>
      <c r="O293" s="16">
        <f>IF(A293="","",IF(M293=TRUE,IFERROR(H293,0),0))</f>
        <v/>
      </c>
      <c r="P293" s="16">
        <f>IF(A293="","",IF(M293=TRUE,IFERROR(I293,0),0))</f>
        <v/>
      </c>
      <c r="Q293" s="16">
        <f>IF(A293="","",IF(M293=TRUE,IFERROR(J293,0),0))</f>
        <v/>
      </c>
      <c r="R293" s="16">
        <f>IF(A293="","",IF(M293=TRUE,IFERROR(K293,0),0))</f>
        <v/>
      </c>
      <c r="S293" s="16">
        <f>IF(A293="","",IF(M293=TRUE,IFERROR(L293,0),0))</f>
        <v/>
      </c>
      <c r="T293" s="16">
        <f>IF(A293="","",IF(M293=TRUE,IFERROR(H293,0)+IFERROR(I293,0)+IFERROR(L293,0),0))</f>
        <v/>
      </c>
    </row>
    <row r="294">
      <c r="A294" s="10" t="n"/>
      <c r="B294" s="10" t="n"/>
      <c r="C294" s="11" t="n"/>
      <c r="D294" s="11" t="n"/>
      <c r="E294" s="10" t="n"/>
      <c r="F294" s="10" t="n"/>
      <c r="G294" s="12" t="n"/>
      <c r="H294" s="13" t="n"/>
      <c r="I294" s="13" t="n"/>
      <c r="J294" s="13" t="n"/>
      <c r="K294" s="13" t="n"/>
      <c r="L294" s="13" t="n"/>
      <c r="M294" s="17">
        <f>IF(A294="","",IFERROR(VLOOKUP(A294,Raw_CurrentMonth!A:O,15,FALSE)=TRUE,FALSE))</f>
        <v/>
      </c>
      <c r="N294" s="16">
        <f>IF(A294="","",IF(M294=TRUE,IFERROR(H294,0)+IFERROR(I294,0)+IFERROR(J294,0)+IFERROR(K294,0)+IFERROR(L294,0),0))</f>
        <v/>
      </c>
      <c r="O294" s="16">
        <f>IF(A294="","",IF(M294=TRUE,IFERROR(H294,0),0))</f>
        <v/>
      </c>
      <c r="P294" s="16">
        <f>IF(A294="","",IF(M294=TRUE,IFERROR(I294,0),0))</f>
        <v/>
      </c>
      <c r="Q294" s="16">
        <f>IF(A294="","",IF(M294=TRUE,IFERROR(J294,0),0))</f>
        <v/>
      </c>
      <c r="R294" s="16">
        <f>IF(A294="","",IF(M294=TRUE,IFERROR(K294,0),0))</f>
        <v/>
      </c>
      <c r="S294" s="16">
        <f>IF(A294="","",IF(M294=TRUE,IFERROR(L294,0),0))</f>
        <v/>
      </c>
      <c r="T294" s="16">
        <f>IF(A294="","",IF(M294=TRUE,IFERROR(H294,0)+IFERROR(I294,0)+IFERROR(L294,0),0))</f>
        <v/>
      </c>
    </row>
    <row r="295">
      <c r="A295" s="10" t="n"/>
      <c r="B295" s="10" t="n"/>
      <c r="C295" s="11" t="n"/>
      <c r="D295" s="11" t="n"/>
      <c r="E295" s="10" t="n"/>
      <c r="F295" s="10" t="n"/>
      <c r="G295" s="12" t="n"/>
      <c r="H295" s="13" t="n"/>
      <c r="I295" s="13" t="n"/>
      <c r="J295" s="13" t="n"/>
      <c r="K295" s="13" t="n"/>
      <c r="L295" s="13" t="n"/>
      <c r="M295" s="17">
        <f>IF(A295="","",IFERROR(VLOOKUP(A295,Raw_CurrentMonth!A:O,15,FALSE)=TRUE,FALSE))</f>
        <v/>
      </c>
      <c r="N295" s="16">
        <f>IF(A295="","",IF(M295=TRUE,IFERROR(H295,0)+IFERROR(I295,0)+IFERROR(J295,0)+IFERROR(K295,0)+IFERROR(L295,0),0))</f>
        <v/>
      </c>
      <c r="O295" s="16">
        <f>IF(A295="","",IF(M295=TRUE,IFERROR(H295,0),0))</f>
        <v/>
      </c>
      <c r="P295" s="16">
        <f>IF(A295="","",IF(M295=TRUE,IFERROR(I295,0),0))</f>
        <v/>
      </c>
      <c r="Q295" s="16">
        <f>IF(A295="","",IF(M295=TRUE,IFERROR(J295,0),0))</f>
        <v/>
      </c>
      <c r="R295" s="16">
        <f>IF(A295="","",IF(M295=TRUE,IFERROR(K295,0),0))</f>
        <v/>
      </c>
      <c r="S295" s="16">
        <f>IF(A295="","",IF(M295=TRUE,IFERROR(L295,0),0))</f>
        <v/>
      </c>
      <c r="T295" s="16">
        <f>IF(A295="","",IF(M295=TRUE,IFERROR(H295,0)+IFERROR(I295,0)+IFERROR(L295,0),0))</f>
        <v/>
      </c>
    </row>
    <row r="296">
      <c r="A296" s="10" t="n"/>
      <c r="B296" s="10" t="n"/>
      <c r="C296" s="11" t="n"/>
      <c r="D296" s="11" t="n"/>
      <c r="E296" s="10" t="n"/>
      <c r="F296" s="10" t="n"/>
      <c r="G296" s="12" t="n"/>
      <c r="H296" s="13" t="n"/>
      <c r="I296" s="13" t="n"/>
      <c r="J296" s="13" t="n"/>
      <c r="K296" s="13" t="n"/>
      <c r="L296" s="13" t="n"/>
      <c r="M296" s="17">
        <f>IF(A296="","",IFERROR(VLOOKUP(A296,Raw_CurrentMonth!A:O,15,FALSE)=TRUE,FALSE))</f>
        <v/>
      </c>
      <c r="N296" s="16">
        <f>IF(A296="","",IF(M296=TRUE,IFERROR(H296,0)+IFERROR(I296,0)+IFERROR(J296,0)+IFERROR(K296,0)+IFERROR(L296,0),0))</f>
        <v/>
      </c>
      <c r="O296" s="16">
        <f>IF(A296="","",IF(M296=TRUE,IFERROR(H296,0),0))</f>
        <v/>
      </c>
      <c r="P296" s="16">
        <f>IF(A296="","",IF(M296=TRUE,IFERROR(I296,0),0))</f>
        <v/>
      </c>
      <c r="Q296" s="16">
        <f>IF(A296="","",IF(M296=TRUE,IFERROR(J296,0),0))</f>
        <v/>
      </c>
      <c r="R296" s="16">
        <f>IF(A296="","",IF(M296=TRUE,IFERROR(K296,0),0))</f>
        <v/>
      </c>
      <c r="S296" s="16">
        <f>IF(A296="","",IF(M296=TRUE,IFERROR(L296,0),0))</f>
        <v/>
      </c>
      <c r="T296" s="16">
        <f>IF(A296="","",IF(M296=TRUE,IFERROR(H296,0)+IFERROR(I296,0)+IFERROR(L296,0),0))</f>
        <v/>
      </c>
    </row>
    <row r="297">
      <c r="A297" s="10" t="n"/>
      <c r="B297" s="10" t="n"/>
      <c r="C297" s="11" t="n"/>
      <c r="D297" s="11" t="n"/>
      <c r="E297" s="10" t="n"/>
      <c r="F297" s="10" t="n"/>
      <c r="G297" s="12" t="n"/>
      <c r="H297" s="13" t="n"/>
      <c r="I297" s="13" t="n"/>
      <c r="J297" s="13" t="n"/>
      <c r="K297" s="13" t="n"/>
      <c r="L297" s="13" t="n"/>
      <c r="M297" s="17">
        <f>IF(A297="","",IFERROR(VLOOKUP(A297,Raw_CurrentMonth!A:O,15,FALSE)=TRUE,FALSE))</f>
        <v/>
      </c>
      <c r="N297" s="16">
        <f>IF(A297="","",IF(M297=TRUE,IFERROR(H297,0)+IFERROR(I297,0)+IFERROR(J297,0)+IFERROR(K297,0)+IFERROR(L297,0),0))</f>
        <v/>
      </c>
      <c r="O297" s="16">
        <f>IF(A297="","",IF(M297=TRUE,IFERROR(H297,0),0))</f>
        <v/>
      </c>
      <c r="P297" s="16">
        <f>IF(A297="","",IF(M297=TRUE,IFERROR(I297,0),0))</f>
        <v/>
      </c>
      <c r="Q297" s="16">
        <f>IF(A297="","",IF(M297=TRUE,IFERROR(J297,0),0))</f>
        <v/>
      </c>
      <c r="R297" s="16">
        <f>IF(A297="","",IF(M297=TRUE,IFERROR(K297,0),0))</f>
        <v/>
      </c>
      <c r="S297" s="16">
        <f>IF(A297="","",IF(M297=TRUE,IFERROR(L297,0),0))</f>
        <v/>
      </c>
      <c r="T297" s="16">
        <f>IF(A297="","",IF(M297=TRUE,IFERROR(H297,0)+IFERROR(I297,0)+IFERROR(L297,0),0))</f>
        <v/>
      </c>
    </row>
    <row r="298">
      <c r="A298" s="10" t="n"/>
      <c r="B298" s="10" t="n"/>
      <c r="C298" s="11" t="n"/>
      <c r="D298" s="11" t="n"/>
      <c r="E298" s="10" t="n"/>
      <c r="F298" s="10" t="n"/>
      <c r="G298" s="12" t="n"/>
      <c r="H298" s="13" t="n"/>
      <c r="I298" s="13" t="n"/>
      <c r="J298" s="13" t="n"/>
      <c r="K298" s="13" t="n"/>
      <c r="L298" s="13" t="n"/>
      <c r="M298" s="17">
        <f>IF(A298="","",IFERROR(VLOOKUP(A298,Raw_CurrentMonth!A:O,15,FALSE)=TRUE,FALSE))</f>
        <v/>
      </c>
      <c r="N298" s="16">
        <f>IF(A298="","",IF(M298=TRUE,IFERROR(H298,0)+IFERROR(I298,0)+IFERROR(J298,0)+IFERROR(K298,0)+IFERROR(L298,0),0))</f>
        <v/>
      </c>
      <c r="O298" s="16">
        <f>IF(A298="","",IF(M298=TRUE,IFERROR(H298,0),0))</f>
        <v/>
      </c>
      <c r="P298" s="16">
        <f>IF(A298="","",IF(M298=TRUE,IFERROR(I298,0),0))</f>
        <v/>
      </c>
      <c r="Q298" s="16">
        <f>IF(A298="","",IF(M298=TRUE,IFERROR(J298,0),0))</f>
        <v/>
      </c>
      <c r="R298" s="16">
        <f>IF(A298="","",IF(M298=TRUE,IFERROR(K298,0),0))</f>
        <v/>
      </c>
      <c r="S298" s="16">
        <f>IF(A298="","",IF(M298=TRUE,IFERROR(L298,0),0))</f>
        <v/>
      </c>
      <c r="T298" s="16">
        <f>IF(A298="","",IF(M298=TRUE,IFERROR(H298,0)+IFERROR(I298,0)+IFERROR(L298,0),0))</f>
        <v/>
      </c>
    </row>
    <row r="299">
      <c r="A299" s="10" t="n"/>
      <c r="B299" s="10" t="n"/>
      <c r="C299" s="11" t="n"/>
      <c r="D299" s="11" t="n"/>
      <c r="E299" s="10" t="n"/>
      <c r="F299" s="10" t="n"/>
      <c r="G299" s="12" t="n"/>
      <c r="H299" s="13" t="n"/>
      <c r="I299" s="13" t="n"/>
      <c r="J299" s="13" t="n"/>
      <c r="K299" s="13" t="n"/>
      <c r="L299" s="13" t="n"/>
      <c r="M299" s="17">
        <f>IF(A299="","",IFERROR(VLOOKUP(A299,Raw_CurrentMonth!A:O,15,FALSE)=TRUE,FALSE))</f>
        <v/>
      </c>
      <c r="N299" s="16">
        <f>IF(A299="","",IF(M299=TRUE,IFERROR(H299,0)+IFERROR(I299,0)+IFERROR(J299,0)+IFERROR(K299,0)+IFERROR(L299,0),0))</f>
        <v/>
      </c>
      <c r="O299" s="16">
        <f>IF(A299="","",IF(M299=TRUE,IFERROR(H299,0),0))</f>
        <v/>
      </c>
      <c r="P299" s="16">
        <f>IF(A299="","",IF(M299=TRUE,IFERROR(I299,0),0))</f>
        <v/>
      </c>
      <c r="Q299" s="16">
        <f>IF(A299="","",IF(M299=TRUE,IFERROR(J299,0),0))</f>
        <v/>
      </c>
      <c r="R299" s="16">
        <f>IF(A299="","",IF(M299=TRUE,IFERROR(K299,0),0))</f>
        <v/>
      </c>
      <c r="S299" s="16">
        <f>IF(A299="","",IF(M299=TRUE,IFERROR(L299,0),0))</f>
        <v/>
      </c>
      <c r="T299" s="16">
        <f>IF(A299="","",IF(M299=TRUE,IFERROR(H299,0)+IFERROR(I299,0)+IFERROR(L299,0),0))</f>
        <v/>
      </c>
    </row>
    <row r="300">
      <c r="A300" s="10" t="n"/>
      <c r="B300" s="10" t="n"/>
      <c r="C300" s="11" t="n"/>
      <c r="D300" s="11" t="n"/>
      <c r="E300" s="10" t="n"/>
      <c r="F300" s="10" t="n"/>
      <c r="G300" s="12" t="n"/>
      <c r="H300" s="13" t="n"/>
      <c r="I300" s="13" t="n"/>
      <c r="J300" s="13" t="n"/>
      <c r="K300" s="13" t="n"/>
      <c r="L300" s="13" t="n"/>
      <c r="M300" s="17">
        <f>IF(A300="","",IFERROR(VLOOKUP(A300,Raw_CurrentMonth!A:O,15,FALSE)=TRUE,FALSE))</f>
        <v/>
      </c>
      <c r="N300" s="16">
        <f>IF(A300="","",IF(M300=TRUE,IFERROR(H300,0)+IFERROR(I300,0)+IFERROR(J300,0)+IFERROR(K300,0)+IFERROR(L300,0),0))</f>
        <v/>
      </c>
      <c r="O300" s="16">
        <f>IF(A300="","",IF(M300=TRUE,IFERROR(H300,0),0))</f>
        <v/>
      </c>
      <c r="P300" s="16">
        <f>IF(A300="","",IF(M300=TRUE,IFERROR(I300,0),0))</f>
        <v/>
      </c>
      <c r="Q300" s="16">
        <f>IF(A300="","",IF(M300=TRUE,IFERROR(J300,0),0))</f>
        <v/>
      </c>
      <c r="R300" s="16">
        <f>IF(A300="","",IF(M300=TRUE,IFERROR(K300,0),0))</f>
        <v/>
      </c>
      <c r="S300" s="16">
        <f>IF(A300="","",IF(M300=TRUE,IFERROR(L300,0),0))</f>
        <v/>
      </c>
      <c r="T300" s="16">
        <f>IF(A300="","",IF(M300=TRUE,IFERROR(H300,0)+IFERROR(I300,0)+IFERROR(L300,0),0))</f>
        <v/>
      </c>
    </row>
    <row r="301">
      <c r="A301" s="10" t="n"/>
      <c r="B301" s="10" t="n"/>
      <c r="C301" s="11" t="n"/>
      <c r="D301" s="11" t="n"/>
      <c r="E301" s="10" t="n"/>
      <c r="F301" s="10" t="n"/>
      <c r="G301" s="12" t="n"/>
      <c r="H301" s="13" t="n"/>
      <c r="I301" s="13" t="n"/>
      <c r="J301" s="13" t="n"/>
      <c r="K301" s="13" t="n"/>
      <c r="L301" s="13" t="n"/>
      <c r="M301" s="17">
        <f>IF(A301="","",IFERROR(VLOOKUP(A301,Raw_CurrentMonth!A:O,15,FALSE)=TRUE,FALSE))</f>
        <v/>
      </c>
      <c r="N301" s="16">
        <f>IF(A301="","",IF(M301=TRUE,IFERROR(H301,0)+IFERROR(I301,0)+IFERROR(J301,0)+IFERROR(K301,0)+IFERROR(L301,0),0))</f>
        <v/>
      </c>
      <c r="O301" s="16">
        <f>IF(A301="","",IF(M301=TRUE,IFERROR(H301,0),0))</f>
        <v/>
      </c>
      <c r="P301" s="16">
        <f>IF(A301="","",IF(M301=TRUE,IFERROR(I301,0),0))</f>
        <v/>
      </c>
      <c r="Q301" s="16">
        <f>IF(A301="","",IF(M301=TRUE,IFERROR(J301,0),0))</f>
        <v/>
      </c>
      <c r="R301" s="16">
        <f>IF(A301="","",IF(M301=TRUE,IFERROR(K301,0),0))</f>
        <v/>
      </c>
      <c r="S301" s="16">
        <f>IF(A301="","",IF(M301=TRUE,IFERROR(L301,0),0))</f>
        <v/>
      </c>
      <c r="T301" s="16">
        <f>IF(A301="","",IF(M301=TRUE,IFERROR(H301,0)+IFERROR(I301,0)+IFERROR(L301,0),0))</f>
        <v/>
      </c>
    </row>
    <row r="302">
      <c r="A302" s="10" t="n"/>
      <c r="B302" s="10" t="n"/>
      <c r="C302" s="11" t="n"/>
      <c r="D302" s="11" t="n"/>
      <c r="E302" s="10" t="n"/>
      <c r="F302" s="10" t="n"/>
      <c r="G302" s="12" t="n"/>
      <c r="H302" s="13" t="n"/>
      <c r="I302" s="13" t="n"/>
      <c r="J302" s="13" t="n"/>
      <c r="K302" s="13" t="n"/>
      <c r="L302" s="13" t="n"/>
      <c r="M302" s="17">
        <f>IF(A302="","",IFERROR(VLOOKUP(A302,Raw_CurrentMonth!A:O,15,FALSE)=TRUE,FALSE))</f>
        <v/>
      </c>
      <c r="N302" s="16">
        <f>IF(A302="","",IF(M302=TRUE,IFERROR(H302,0)+IFERROR(I302,0)+IFERROR(J302,0)+IFERROR(K302,0)+IFERROR(L302,0),0))</f>
        <v/>
      </c>
      <c r="O302" s="16">
        <f>IF(A302="","",IF(M302=TRUE,IFERROR(H302,0),0))</f>
        <v/>
      </c>
      <c r="P302" s="16">
        <f>IF(A302="","",IF(M302=TRUE,IFERROR(I302,0),0))</f>
        <v/>
      </c>
      <c r="Q302" s="16">
        <f>IF(A302="","",IF(M302=TRUE,IFERROR(J302,0),0))</f>
        <v/>
      </c>
      <c r="R302" s="16">
        <f>IF(A302="","",IF(M302=TRUE,IFERROR(K302,0),0))</f>
        <v/>
      </c>
      <c r="S302" s="16">
        <f>IF(A302="","",IF(M302=TRUE,IFERROR(L302,0),0))</f>
        <v/>
      </c>
      <c r="T302" s="16">
        <f>IF(A302="","",IF(M302=TRUE,IFERROR(H302,0)+IFERROR(I302,0)+IFERROR(L302,0),0))</f>
        <v/>
      </c>
    </row>
    <row r="303">
      <c r="A303" s="10" t="n"/>
      <c r="B303" s="10" t="n"/>
      <c r="C303" s="11" t="n"/>
      <c r="D303" s="11" t="n"/>
      <c r="E303" s="10" t="n"/>
      <c r="F303" s="10" t="n"/>
      <c r="G303" s="12" t="n"/>
      <c r="H303" s="13" t="n"/>
      <c r="I303" s="13" t="n"/>
      <c r="J303" s="13" t="n"/>
      <c r="K303" s="13" t="n"/>
      <c r="L303" s="13" t="n"/>
      <c r="M303" s="17">
        <f>IF(A303="","",IFERROR(VLOOKUP(A303,Raw_CurrentMonth!A:O,15,FALSE)=TRUE,FALSE))</f>
        <v/>
      </c>
      <c r="N303" s="16">
        <f>IF(A303="","",IF(M303=TRUE,IFERROR(H303,0)+IFERROR(I303,0)+IFERROR(J303,0)+IFERROR(K303,0)+IFERROR(L303,0),0))</f>
        <v/>
      </c>
      <c r="O303" s="16">
        <f>IF(A303="","",IF(M303=TRUE,IFERROR(H303,0),0))</f>
        <v/>
      </c>
      <c r="P303" s="16">
        <f>IF(A303="","",IF(M303=TRUE,IFERROR(I303,0),0))</f>
        <v/>
      </c>
      <c r="Q303" s="16">
        <f>IF(A303="","",IF(M303=TRUE,IFERROR(J303,0),0))</f>
        <v/>
      </c>
      <c r="R303" s="16">
        <f>IF(A303="","",IF(M303=TRUE,IFERROR(K303,0),0))</f>
        <v/>
      </c>
      <c r="S303" s="16">
        <f>IF(A303="","",IF(M303=TRUE,IFERROR(L303,0),0))</f>
        <v/>
      </c>
      <c r="T303" s="16">
        <f>IF(A303="","",IF(M303=TRUE,IFERROR(H303,0)+IFERROR(I303,0)+IFERROR(L303,0),0))</f>
        <v/>
      </c>
    </row>
    <row r="304">
      <c r="A304" s="10" t="n"/>
      <c r="B304" s="10" t="n"/>
      <c r="C304" s="11" t="n"/>
      <c r="D304" s="11" t="n"/>
      <c r="E304" s="10" t="n"/>
      <c r="F304" s="10" t="n"/>
      <c r="G304" s="12" t="n"/>
      <c r="H304" s="13" t="n"/>
      <c r="I304" s="13" t="n"/>
      <c r="J304" s="13" t="n"/>
      <c r="K304" s="13" t="n"/>
      <c r="L304" s="13" t="n"/>
      <c r="M304" s="17">
        <f>IF(A304="","",IFERROR(VLOOKUP(A304,Raw_CurrentMonth!A:O,15,FALSE)=TRUE,FALSE))</f>
        <v/>
      </c>
      <c r="N304" s="16">
        <f>IF(A304="","",IF(M304=TRUE,IFERROR(H304,0)+IFERROR(I304,0)+IFERROR(J304,0)+IFERROR(K304,0)+IFERROR(L304,0),0))</f>
        <v/>
      </c>
      <c r="O304" s="16">
        <f>IF(A304="","",IF(M304=TRUE,IFERROR(H304,0),0))</f>
        <v/>
      </c>
      <c r="P304" s="16">
        <f>IF(A304="","",IF(M304=TRUE,IFERROR(I304,0),0))</f>
        <v/>
      </c>
      <c r="Q304" s="16">
        <f>IF(A304="","",IF(M304=TRUE,IFERROR(J304,0),0))</f>
        <v/>
      </c>
      <c r="R304" s="16">
        <f>IF(A304="","",IF(M304=TRUE,IFERROR(K304,0),0))</f>
        <v/>
      </c>
      <c r="S304" s="16">
        <f>IF(A304="","",IF(M304=TRUE,IFERROR(L304,0),0))</f>
        <v/>
      </c>
      <c r="T304" s="16">
        <f>IF(A304="","",IF(M304=TRUE,IFERROR(H304,0)+IFERROR(I304,0)+IFERROR(L304,0),0))</f>
        <v/>
      </c>
    </row>
    <row r="305">
      <c r="A305" s="10" t="n"/>
      <c r="B305" s="10" t="n"/>
      <c r="C305" s="11" t="n"/>
      <c r="D305" s="11" t="n"/>
      <c r="E305" s="10" t="n"/>
      <c r="F305" s="10" t="n"/>
      <c r="G305" s="12" t="n"/>
      <c r="H305" s="13" t="n"/>
      <c r="I305" s="13" t="n"/>
      <c r="J305" s="13" t="n"/>
      <c r="K305" s="13" t="n"/>
      <c r="L305" s="13" t="n"/>
      <c r="M305" s="17">
        <f>IF(A305="","",IFERROR(VLOOKUP(A305,Raw_CurrentMonth!A:O,15,FALSE)=TRUE,FALSE))</f>
        <v/>
      </c>
      <c r="N305" s="16">
        <f>IF(A305="","",IF(M305=TRUE,IFERROR(H305,0)+IFERROR(I305,0)+IFERROR(J305,0)+IFERROR(K305,0)+IFERROR(L305,0),0))</f>
        <v/>
      </c>
      <c r="O305" s="16">
        <f>IF(A305="","",IF(M305=TRUE,IFERROR(H305,0),0))</f>
        <v/>
      </c>
      <c r="P305" s="16">
        <f>IF(A305="","",IF(M305=TRUE,IFERROR(I305,0),0))</f>
        <v/>
      </c>
      <c r="Q305" s="16">
        <f>IF(A305="","",IF(M305=TRUE,IFERROR(J305,0),0))</f>
        <v/>
      </c>
      <c r="R305" s="16">
        <f>IF(A305="","",IF(M305=TRUE,IFERROR(K305,0),0))</f>
        <v/>
      </c>
      <c r="S305" s="16">
        <f>IF(A305="","",IF(M305=TRUE,IFERROR(L305,0),0))</f>
        <v/>
      </c>
      <c r="T305" s="16">
        <f>IF(A305="","",IF(M305=TRUE,IFERROR(H305,0)+IFERROR(I305,0)+IFERROR(L305,0),0))</f>
        <v/>
      </c>
    </row>
    <row r="306">
      <c r="A306" s="10" t="n"/>
      <c r="B306" s="10" t="n"/>
      <c r="C306" s="11" t="n"/>
      <c r="D306" s="11" t="n"/>
      <c r="E306" s="10" t="n"/>
      <c r="F306" s="10" t="n"/>
      <c r="G306" s="12" t="n"/>
      <c r="H306" s="13" t="n"/>
      <c r="I306" s="13" t="n"/>
      <c r="J306" s="13" t="n"/>
      <c r="K306" s="13" t="n"/>
      <c r="L306" s="13" t="n"/>
      <c r="M306" s="17">
        <f>IF(A306="","",IFERROR(VLOOKUP(A306,Raw_CurrentMonth!A:O,15,FALSE)=TRUE,FALSE))</f>
        <v/>
      </c>
      <c r="N306" s="16">
        <f>IF(A306="","",IF(M306=TRUE,IFERROR(H306,0)+IFERROR(I306,0)+IFERROR(J306,0)+IFERROR(K306,0)+IFERROR(L306,0),0))</f>
        <v/>
      </c>
      <c r="O306" s="16">
        <f>IF(A306="","",IF(M306=TRUE,IFERROR(H306,0),0))</f>
        <v/>
      </c>
      <c r="P306" s="16">
        <f>IF(A306="","",IF(M306=TRUE,IFERROR(I306,0),0))</f>
        <v/>
      </c>
      <c r="Q306" s="16">
        <f>IF(A306="","",IF(M306=TRUE,IFERROR(J306,0),0))</f>
        <v/>
      </c>
      <c r="R306" s="16">
        <f>IF(A306="","",IF(M306=TRUE,IFERROR(K306,0),0))</f>
        <v/>
      </c>
      <c r="S306" s="16">
        <f>IF(A306="","",IF(M306=TRUE,IFERROR(L306,0),0))</f>
        <v/>
      </c>
      <c r="T306" s="16">
        <f>IF(A306="","",IF(M306=TRUE,IFERROR(H306,0)+IFERROR(I306,0)+IFERROR(L306,0),0))</f>
        <v/>
      </c>
    </row>
    <row r="307">
      <c r="A307" s="10" t="n"/>
      <c r="B307" s="10" t="n"/>
      <c r="C307" s="11" t="n"/>
      <c r="D307" s="11" t="n"/>
      <c r="E307" s="10" t="n"/>
      <c r="F307" s="10" t="n"/>
      <c r="G307" s="12" t="n"/>
      <c r="H307" s="13" t="n"/>
      <c r="I307" s="13" t="n"/>
      <c r="J307" s="13" t="n"/>
      <c r="K307" s="13" t="n"/>
      <c r="L307" s="13" t="n"/>
      <c r="M307" s="17">
        <f>IF(A307="","",IFERROR(VLOOKUP(A307,Raw_CurrentMonth!A:O,15,FALSE)=TRUE,FALSE))</f>
        <v/>
      </c>
      <c r="N307" s="16">
        <f>IF(A307="","",IF(M307=TRUE,IFERROR(H307,0)+IFERROR(I307,0)+IFERROR(J307,0)+IFERROR(K307,0)+IFERROR(L307,0),0))</f>
        <v/>
      </c>
      <c r="O307" s="16">
        <f>IF(A307="","",IF(M307=TRUE,IFERROR(H307,0),0))</f>
        <v/>
      </c>
      <c r="P307" s="16">
        <f>IF(A307="","",IF(M307=TRUE,IFERROR(I307,0),0))</f>
        <v/>
      </c>
      <c r="Q307" s="16">
        <f>IF(A307="","",IF(M307=TRUE,IFERROR(J307,0),0))</f>
        <v/>
      </c>
      <c r="R307" s="16">
        <f>IF(A307="","",IF(M307=TRUE,IFERROR(K307,0),0))</f>
        <v/>
      </c>
      <c r="S307" s="16">
        <f>IF(A307="","",IF(M307=TRUE,IFERROR(L307,0),0))</f>
        <v/>
      </c>
      <c r="T307" s="16">
        <f>IF(A307="","",IF(M307=TRUE,IFERROR(H307,0)+IFERROR(I307,0)+IFERROR(L307,0),0))</f>
        <v/>
      </c>
    </row>
    <row r="308">
      <c r="A308" s="10" t="n"/>
      <c r="B308" s="10" t="n"/>
      <c r="C308" s="11" t="n"/>
      <c r="D308" s="11" t="n"/>
      <c r="E308" s="10" t="n"/>
      <c r="F308" s="10" t="n"/>
      <c r="G308" s="12" t="n"/>
      <c r="H308" s="13" t="n"/>
      <c r="I308" s="13" t="n"/>
      <c r="J308" s="13" t="n"/>
      <c r="K308" s="13" t="n"/>
      <c r="L308" s="13" t="n"/>
      <c r="M308" s="17">
        <f>IF(A308="","",IFERROR(VLOOKUP(A308,Raw_CurrentMonth!A:O,15,FALSE)=TRUE,FALSE))</f>
        <v/>
      </c>
      <c r="N308" s="16">
        <f>IF(A308="","",IF(M308=TRUE,IFERROR(H308,0)+IFERROR(I308,0)+IFERROR(J308,0)+IFERROR(K308,0)+IFERROR(L308,0),0))</f>
        <v/>
      </c>
      <c r="O308" s="16">
        <f>IF(A308="","",IF(M308=TRUE,IFERROR(H308,0),0))</f>
        <v/>
      </c>
      <c r="P308" s="16">
        <f>IF(A308="","",IF(M308=TRUE,IFERROR(I308,0),0))</f>
        <v/>
      </c>
      <c r="Q308" s="16">
        <f>IF(A308="","",IF(M308=TRUE,IFERROR(J308,0),0))</f>
        <v/>
      </c>
      <c r="R308" s="16">
        <f>IF(A308="","",IF(M308=TRUE,IFERROR(K308,0),0))</f>
        <v/>
      </c>
      <c r="S308" s="16">
        <f>IF(A308="","",IF(M308=TRUE,IFERROR(L308,0),0))</f>
        <v/>
      </c>
      <c r="T308" s="16">
        <f>IF(A308="","",IF(M308=TRUE,IFERROR(H308,0)+IFERROR(I308,0)+IFERROR(L308,0),0))</f>
        <v/>
      </c>
    </row>
    <row r="309">
      <c r="A309" s="10" t="n"/>
      <c r="B309" s="10" t="n"/>
      <c r="C309" s="11" t="n"/>
      <c r="D309" s="11" t="n"/>
      <c r="E309" s="10" t="n"/>
      <c r="F309" s="10" t="n"/>
      <c r="G309" s="12" t="n"/>
      <c r="H309" s="13" t="n"/>
      <c r="I309" s="13" t="n"/>
      <c r="J309" s="13" t="n"/>
      <c r="K309" s="13" t="n"/>
      <c r="L309" s="13" t="n"/>
      <c r="M309" s="17">
        <f>IF(A309="","",IFERROR(VLOOKUP(A309,Raw_CurrentMonth!A:O,15,FALSE)=TRUE,FALSE))</f>
        <v/>
      </c>
      <c r="N309" s="16">
        <f>IF(A309="","",IF(M309=TRUE,IFERROR(H309,0)+IFERROR(I309,0)+IFERROR(J309,0)+IFERROR(K309,0)+IFERROR(L309,0),0))</f>
        <v/>
      </c>
      <c r="O309" s="16">
        <f>IF(A309="","",IF(M309=TRUE,IFERROR(H309,0),0))</f>
        <v/>
      </c>
      <c r="P309" s="16">
        <f>IF(A309="","",IF(M309=TRUE,IFERROR(I309,0),0))</f>
        <v/>
      </c>
      <c r="Q309" s="16">
        <f>IF(A309="","",IF(M309=TRUE,IFERROR(J309,0),0))</f>
        <v/>
      </c>
      <c r="R309" s="16">
        <f>IF(A309="","",IF(M309=TRUE,IFERROR(K309,0),0))</f>
        <v/>
      </c>
      <c r="S309" s="16">
        <f>IF(A309="","",IF(M309=TRUE,IFERROR(L309,0),0))</f>
        <v/>
      </c>
      <c r="T309" s="16">
        <f>IF(A309="","",IF(M309=TRUE,IFERROR(H309,0)+IFERROR(I309,0)+IFERROR(L309,0),0))</f>
        <v/>
      </c>
    </row>
    <row r="310">
      <c r="A310" s="10" t="n"/>
      <c r="B310" s="10" t="n"/>
      <c r="C310" s="11" t="n"/>
      <c r="D310" s="11" t="n"/>
      <c r="E310" s="10" t="n"/>
      <c r="F310" s="10" t="n"/>
      <c r="G310" s="12" t="n"/>
      <c r="H310" s="13" t="n"/>
      <c r="I310" s="13" t="n"/>
      <c r="J310" s="13" t="n"/>
      <c r="K310" s="13" t="n"/>
      <c r="L310" s="13" t="n"/>
      <c r="M310" s="17">
        <f>IF(A310="","",IFERROR(VLOOKUP(A310,Raw_CurrentMonth!A:O,15,FALSE)=TRUE,FALSE))</f>
        <v/>
      </c>
      <c r="N310" s="16">
        <f>IF(A310="","",IF(M310=TRUE,IFERROR(H310,0)+IFERROR(I310,0)+IFERROR(J310,0)+IFERROR(K310,0)+IFERROR(L310,0),0))</f>
        <v/>
      </c>
      <c r="O310" s="16">
        <f>IF(A310="","",IF(M310=TRUE,IFERROR(H310,0),0))</f>
        <v/>
      </c>
      <c r="P310" s="16">
        <f>IF(A310="","",IF(M310=TRUE,IFERROR(I310,0),0))</f>
        <v/>
      </c>
      <c r="Q310" s="16">
        <f>IF(A310="","",IF(M310=TRUE,IFERROR(J310,0),0))</f>
        <v/>
      </c>
      <c r="R310" s="16">
        <f>IF(A310="","",IF(M310=TRUE,IFERROR(K310,0),0))</f>
        <v/>
      </c>
      <c r="S310" s="16">
        <f>IF(A310="","",IF(M310=TRUE,IFERROR(L310,0),0))</f>
        <v/>
      </c>
      <c r="T310" s="16">
        <f>IF(A310="","",IF(M310=TRUE,IFERROR(H310,0)+IFERROR(I310,0)+IFERROR(L310,0),0))</f>
        <v/>
      </c>
    </row>
    <row r="311">
      <c r="A311" s="10" t="n"/>
      <c r="B311" s="10" t="n"/>
      <c r="C311" s="11" t="n"/>
      <c r="D311" s="11" t="n"/>
      <c r="E311" s="10" t="n"/>
      <c r="F311" s="10" t="n"/>
      <c r="G311" s="12" t="n"/>
      <c r="H311" s="13" t="n"/>
      <c r="I311" s="13" t="n"/>
      <c r="J311" s="13" t="n"/>
      <c r="K311" s="13" t="n"/>
      <c r="L311" s="13" t="n"/>
      <c r="M311" s="17">
        <f>IF(A311="","",IFERROR(VLOOKUP(A311,Raw_CurrentMonth!A:O,15,FALSE)=TRUE,FALSE))</f>
        <v/>
      </c>
      <c r="N311" s="16">
        <f>IF(A311="","",IF(M311=TRUE,IFERROR(H311,0)+IFERROR(I311,0)+IFERROR(J311,0)+IFERROR(K311,0)+IFERROR(L311,0),0))</f>
        <v/>
      </c>
      <c r="O311" s="16">
        <f>IF(A311="","",IF(M311=TRUE,IFERROR(H311,0),0))</f>
        <v/>
      </c>
      <c r="P311" s="16">
        <f>IF(A311="","",IF(M311=TRUE,IFERROR(I311,0),0))</f>
        <v/>
      </c>
      <c r="Q311" s="16">
        <f>IF(A311="","",IF(M311=TRUE,IFERROR(J311,0),0))</f>
        <v/>
      </c>
      <c r="R311" s="16">
        <f>IF(A311="","",IF(M311=TRUE,IFERROR(K311,0),0))</f>
        <v/>
      </c>
      <c r="S311" s="16">
        <f>IF(A311="","",IF(M311=TRUE,IFERROR(L311,0),0))</f>
        <v/>
      </c>
      <c r="T311" s="16">
        <f>IF(A311="","",IF(M311=TRUE,IFERROR(H311,0)+IFERROR(I311,0)+IFERROR(L311,0),0))</f>
        <v/>
      </c>
    </row>
    <row r="312">
      <c r="A312" s="10" t="n"/>
      <c r="B312" s="10" t="n"/>
      <c r="C312" s="11" t="n"/>
      <c r="D312" s="11" t="n"/>
      <c r="E312" s="10" t="n"/>
      <c r="F312" s="10" t="n"/>
      <c r="G312" s="12" t="n"/>
      <c r="H312" s="13" t="n"/>
      <c r="I312" s="13" t="n"/>
      <c r="J312" s="13" t="n"/>
      <c r="K312" s="13" t="n"/>
      <c r="L312" s="13" t="n"/>
      <c r="M312" s="17">
        <f>IF(A312="","",IFERROR(VLOOKUP(A312,Raw_CurrentMonth!A:O,15,FALSE)=TRUE,FALSE))</f>
        <v/>
      </c>
      <c r="N312" s="16">
        <f>IF(A312="","",IF(M312=TRUE,IFERROR(H312,0)+IFERROR(I312,0)+IFERROR(J312,0)+IFERROR(K312,0)+IFERROR(L312,0),0))</f>
        <v/>
      </c>
      <c r="O312" s="16">
        <f>IF(A312="","",IF(M312=TRUE,IFERROR(H312,0),0))</f>
        <v/>
      </c>
      <c r="P312" s="16">
        <f>IF(A312="","",IF(M312=TRUE,IFERROR(I312,0),0))</f>
        <v/>
      </c>
      <c r="Q312" s="16">
        <f>IF(A312="","",IF(M312=TRUE,IFERROR(J312,0),0))</f>
        <v/>
      </c>
      <c r="R312" s="16">
        <f>IF(A312="","",IF(M312=TRUE,IFERROR(K312,0),0))</f>
        <v/>
      </c>
      <c r="S312" s="16">
        <f>IF(A312="","",IF(M312=TRUE,IFERROR(L312,0),0))</f>
        <v/>
      </c>
      <c r="T312" s="16">
        <f>IF(A312="","",IF(M312=TRUE,IFERROR(H312,0)+IFERROR(I312,0)+IFERROR(L312,0),0))</f>
        <v/>
      </c>
    </row>
    <row r="313">
      <c r="A313" s="10" t="n"/>
      <c r="B313" s="10" t="n"/>
      <c r="C313" s="11" t="n"/>
      <c r="D313" s="11" t="n"/>
      <c r="E313" s="10" t="n"/>
      <c r="F313" s="10" t="n"/>
      <c r="G313" s="12" t="n"/>
      <c r="H313" s="13" t="n"/>
      <c r="I313" s="13" t="n"/>
      <c r="J313" s="13" t="n"/>
      <c r="K313" s="13" t="n"/>
      <c r="L313" s="13" t="n"/>
      <c r="M313" s="17">
        <f>IF(A313="","",IFERROR(VLOOKUP(A313,Raw_CurrentMonth!A:O,15,FALSE)=TRUE,FALSE))</f>
        <v/>
      </c>
      <c r="N313" s="16">
        <f>IF(A313="","",IF(M313=TRUE,IFERROR(H313,0)+IFERROR(I313,0)+IFERROR(J313,0)+IFERROR(K313,0)+IFERROR(L313,0),0))</f>
        <v/>
      </c>
      <c r="O313" s="16">
        <f>IF(A313="","",IF(M313=TRUE,IFERROR(H313,0),0))</f>
        <v/>
      </c>
      <c r="P313" s="16">
        <f>IF(A313="","",IF(M313=TRUE,IFERROR(I313,0),0))</f>
        <v/>
      </c>
      <c r="Q313" s="16">
        <f>IF(A313="","",IF(M313=TRUE,IFERROR(J313,0),0))</f>
        <v/>
      </c>
      <c r="R313" s="16">
        <f>IF(A313="","",IF(M313=TRUE,IFERROR(K313,0),0))</f>
        <v/>
      </c>
      <c r="S313" s="16">
        <f>IF(A313="","",IF(M313=TRUE,IFERROR(L313,0),0))</f>
        <v/>
      </c>
      <c r="T313" s="16">
        <f>IF(A313="","",IF(M313=TRUE,IFERROR(H313,0)+IFERROR(I313,0)+IFERROR(L313,0),0))</f>
        <v/>
      </c>
    </row>
    <row r="314">
      <c r="A314" s="10" t="n"/>
      <c r="B314" s="10" t="n"/>
      <c r="C314" s="11" t="n"/>
      <c r="D314" s="11" t="n"/>
      <c r="E314" s="10" t="n"/>
      <c r="F314" s="10" t="n"/>
      <c r="G314" s="12" t="n"/>
      <c r="H314" s="13" t="n"/>
      <c r="I314" s="13" t="n"/>
      <c r="J314" s="13" t="n"/>
      <c r="K314" s="13" t="n"/>
      <c r="L314" s="13" t="n"/>
      <c r="M314" s="17">
        <f>IF(A314="","",IFERROR(VLOOKUP(A314,Raw_CurrentMonth!A:O,15,FALSE)=TRUE,FALSE))</f>
        <v/>
      </c>
      <c r="N314" s="16">
        <f>IF(A314="","",IF(M314=TRUE,IFERROR(H314,0)+IFERROR(I314,0)+IFERROR(J314,0)+IFERROR(K314,0)+IFERROR(L314,0),0))</f>
        <v/>
      </c>
      <c r="O314" s="16">
        <f>IF(A314="","",IF(M314=TRUE,IFERROR(H314,0),0))</f>
        <v/>
      </c>
      <c r="P314" s="16">
        <f>IF(A314="","",IF(M314=TRUE,IFERROR(I314,0),0))</f>
        <v/>
      </c>
      <c r="Q314" s="16">
        <f>IF(A314="","",IF(M314=TRUE,IFERROR(J314,0),0))</f>
        <v/>
      </c>
      <c r="R314" s="16">
        <f>IF(A314="","",IF(M314=TRUE,IFERROR(K314,0),0))</f>
        <v/>
      </c>
      <c r="S314" s="16">
        <f>IF(A314="","",IF(M314=TRUE,IFERROR(L314,0),0))</f>
        <v/>
      </c>
      <c r="T314" s="16">
        <f>IF(A314="","",IF(M314=TRUE,IFERROR(H314,0)+IFERROR(I314,0)+IFERROR(L314,0),0))</f>
        <v/>
      </c>
    </row>
    <row r="315">
      <c r="A315" s="10" t="n"/>
      <c r="B315" s="10" t="n"/>
      <c r="C315" s="11" t="n"/>
      <c r="D315" s="11" t="n"/>
      <c r="E315" s="10" t="n"/>
      <c r="F315" s="10" t="n"/>
      <c r="G315" s="12" t="n"/>
      <c r="H315" s="13" t="n"/>
      <c r="I315" s="13" t="n"/>
      <c r="J315" s="13" t="n"/>
      <c r="K315" s="13" t="n"/>
      <c r="L315" s="13" t="n"/>
      <c r="M315" s="17">
        <f>IF(A315="","",IFERROR(VLOOKUP(A315,Raw_CurrentMonth!A:O,15,FALSE)=TRUE,FALSE))</f>
        <v/>
      </c>
      <c r="N315" s="16">
        <f>IF(A315="","",IF(M315=TRUE,IFERROR(H315,0)+IFERROR(I315,0)+IFERROR(J315,0)+IFERROR(K315,0)+IFERROR(L315,0),0))</f>
        <v/>
      </c>
      <c r="O315" s="16">
        <f>IF(A315="","",IF(M315=TRUE,IFERROR(H315,0),0))</f>
        <v/>
      </c>
      <c r="P315" s="16">
        <f>IF(A315="","",IF(M315=TRUE,IFERROR(I315,0),0))</f>
        <v/>
      </c>
      <c r="Q315" s="16">
        <f>IF(A315="","",IF(M315=TRUE,IFERROR(J315,0),0))</f>
        <v/>
      </c>
      <c r="R315" s="16">
        <f>IF(A315="","",IF(M315=TRUE,IFERROR(K315,0),0))</f>
        <v/>
      </c>
      <c r="S315" s="16">
        <f>IF(A315="","",IF(M315=TRUE,IFERROR(L315,0),0))</f>
        <v/>
      </c>
      <c r="T315" s="16">
        <f>IF(A315="","",IF(M315=TRUE,IFERROR(H315,0)+IFERROR(I315,0)+IFERROR(L315,0),0))</f>
        <v/>
      </c>
    </row>
    <row r="316">
      <c r="A316" s="10" t="n"/>
      <c r="B316" s="10" t="n"/>
      <c r="C316" s="11" t="n"/>
      <c r="D316" s="11" t="n"/>
      <c r="E316" s="10" t="n"/>
      <c r="F316" s="10" t="n"/>
      <c r="G316" s="12" t="n"/>
      <c r="H316" s="13" t="n"/>
      <c r="I316" s="13" t="n"/>
      <c r="J316" s="13" t="n"/>
      <c r="K316" s="13" t="n"/>
      <c r="L316" s="13" t="n"/>
      <c r="M316" s="17">
        <f>IF(A316="","",IFERROR(VLOOKUP(A316,Raw_CurrentMonth!A:O,15,FALSE)=TRUE,FALSE))</f>
        <v/>
      </c>
      <c r="N316" s="16">
        <f>IF(A316="","",IF(M316=TRUE,IFERROR(H316,0)+IFERROR(I316,0)+IFERROR(J316,0)+IFERROR(K316,0)+IFERROR(L316,0),0))</f>
        <v/>
      </c>
      <c r="O316" s="16">
        <f>IF(A316="","",IF(M316=TRUE,IFERROR(H316,0),0))</f>
        <v/>
      </c>
      <c r="P316" s="16">
        <f>IF(A316="","",IF(M316=TRUE,IFERROR(I316,0),0))</f>
        <v/>
      </c>
      <c r="Q316" s="16">
        <f>IF(A316="","",IF(M316=TRUE,IFERROR(J316,0),0))</f>
        <v/>
      </c>
      <c r="R316" s="16">
        <f>IF(A316="","",IF(M316=TRUE,IFERROR(K316,0),0))</f>
        <v/>
      </c>
      <c r="S316" s="16">
        <f>IF(A316="","",IF(M316=TRUE,IFERROR(L316,0),0))</f>
        <v/>
      </c>
      <c r="T316" s="16">
        <f>IF(A316="","",IF(M316=TRUE,IFERROR(H316,0)+IFERROR(I316,0)+IFERROR(L316,0),0))</f>
        <v/>
      </c>
    </row>
    <row r="317">
      <c r="A317" s="10" t="n"/>
      <c r="B317" s="10" t="n"/>
      <c r="C317" s="11" t="n"/>
      <c r="D317" s="11" t="n"/>
      <c r="E317" s="10" t="n"/>
      <c r="F317" s="10" t="n"/>
      <c r="G317" s="12" t="n"/>
      <c r="H317" s="13" t="n"/>
      <c r="I317" s="13" t="n"/>
      <c r="J317" s="13" t="n"/>
      <c r="K317" s="13" t="n"/>
      <c r="L317" s="13" t="n"/>
      <c r="M317" s="17">
        <f>IF(A317="","",IFERROR(VLOOKUP(A317,Raw_CurrentMonth!A:O,15,FALSE)=TRUE,FALSE))</f>
        <v/>
      </c>
      <c r="N317" s="16">
        <f>IF(A317="","",IF(M317=TRUE,IFERROR(H317,0)+IFERROR(I317,0)+IFERROR(J317,0)+IFERROR(K317,0)+IFERROR(L317,0),0))</f>
        <v/>
      </c>
      <c r="O317" s="16">
        <f>IF(A317="","",IF(M317=TRUE,IFERROR(H317,0),0))</f>
        <v/>
      </c>
      <c r="P317" s="16">
        <f>IF(A317="","",IF(M317=TRUE,IFERROR(I317,0),0))</f>
        <v/>
      </c>
      <c r="Q317" s="16">
        <f>IF(A317="","",IF(M317=TRUE,IFERROR(J317,0),0))</f>
        <v/>
      </c>
      <c r="R317" s="16">
        <f>IF(A317="","",IF(M317=TRUE,IFERROR(K317,0),0))</f>
        <v/>
      </c>
      <c r="S317" s="16">
        <f>IF(A317="","",IF(M317=TRUE,IFERROR(L317,0),0))</f>
        <v/>
      </c>
      <c r="T317" s="16">
        <f>IF(A317="","",IF(M317=TRUE,IFERROR(H317,0)+IFERROR(I317,0)+IFERROR(L317,0),0))</f>
        <v/>
      </c>
    </row>
    <row r="318">
      <c r="A318" s="10" t="n"/>
      <c r="B318" s="10" t="n"/>
      <c r="C318" s="11" t="n"/>
      <c r="D318" s="11" t="n"/>
      <c r="E318" s="10" t="n"/>
      <c r="F318" s="10" t="n"/>
      <c r="G318" s="12" t="n"/>
      <c r="H318" s="13" t="n"/>
      <c r="I318" s="13" t="n"/>
      <c r="J318" s="13" t="n"/>
      <c r="K318" s="13" t="n"/>
      <c r="L318" s="13" t="n"/>
      <c r="M318" s="17">
        <f>IF(A318="","",IFERROR(VLOOKUP(A318,Raw_CurrentMonth!A:O,15,FALSE)=TRUE,FALSE))</f>
        <v/>
      </c>
      <c r="N318" s="16">
        <f>IF(A318="","",IF(M318=TRUE,IFERROR(H318,0)+IFERROR(I318,0)+IFERROR(J318,0)+IFERROR(K318,0)+IFERROR(L318,0),0))</f>
        <v/>
      </c>
      <c r="O318" s="16">
        <f>IF(A318="","",IF(M318=TRUE,IFERROR(H318,0),0))</f>
        <v/>
      </c>
      <c r="P318" s="16">
        <f>IF(A318="","",IF(M318=TRUE,IFERROR(I318,0),0))</f>
        <v/>
      </c>
      <c r="Q318" s="16">
        <f>IF(A318="","",IF(M318=TRUE,IFERROR(J318,0),0))</f>
        <v/>
      </c>
      <c r="R318" s="16">
        <f>IF(A318="","",IF(M318=TRUE,IFERROR(K318,0),0))</f>
        <v/>
      </c>
      <c r="S318" s="16">
        <f>IF(A318="","",IF(M318=TRUE,IFERROR(L318,0),0))</f>
        <v/>
      </c>
      <c r="T318" s="16">
        <f>IF(A318="","",IF(M318=TRUE,IFERROR(H318,0)+IFERROR(I318,0)+IFERROR(L318,0),0))</f>
        <v/>
      </c>
    </row>
    <row r="319">
      <c r="A319" s="10" t="n"/>
      <c r="B319" s="10" t="n"/>
      <c r="C319" s="11" t="n"/>
      <c r="D319" s="11" t="n"/>
      <c r="E319" s="10" t="n"/>
      <c r="F319" s="10" t="n"/>
      <c r="G319" s="12" t="n"/>
      <c r="H319" s="13" t="n"/>
      <c r="I319" s="13" t="n"/>
      <c r="J319" s="13" t="n"/>
      <c r="K319" s="13" t="n"/>
      <c r="L319" s="13" t="n"/>
      <c r="M319" s="17">
        <f>IF(A319="","",IFERROR(VLOOKUP(A319,Raw_CurrentMonth!A:O,15,FALSE)=TRUE,FALSE))</f>
        <v/>
      </c>
      <c r="N319" s="16">
        <f>IF(A319="","",IF(M319=TRUE,IFERROR(H319,0)+IFERROR(I319,0)+IFERROR(J319,0)+IFERROR(K319,0)+IFERROR(L319,0),0))</f>
        <v/>
      </c>
      <c r="O319" s="16">
        <f>IF(A319="","",IF(M319=TRUE,IFERROR(H319,0),0))</f>
        <v/>
      </c>
      <c r="P319" s="16">
        <f>IF(A319="","",IF(M319=TRUE,IFERROR(I319,0),0))</f>
        <v/>
      </c>
      <c r="Q319" s="16">
        <f>IF(A319="","",IF(M319=TRUE,IFERROR(J319,0),0))</f>
        <v/>
      </c>
      <c r="R319" s="16">
        <f>IF(A319="","",IF(M319=TRUE,IFERROR(K319,0),0))</f>
        <v/>
      </c>
      <c r="S319" s="16">
        <f>IF(A319="","",IF(M319=TRUE,IFERROR(L319,0),0))</f>
        <v/>
      </c>
      <c r="T319" s="16">
        <f>IF(A319="","",IF(M319=TRUE,IFERROR(H319,0)+IFERROR(I319,0)+IFERROR(L319,0),0))</f>
        <v/>
      </c>
    </row>
    <row r="320">
      <c r="A320" s="10" t="n"/>
      <c r="B320" s="10" t="n"/>
      <c r="C320" s="11" t="n"/>
      <c r="D320" s="11" t="n"/>
      <c r="E320" s="10" t="n"/>
      <c r="F320" s="10" t="n"/>
      <c r="G320" s="12" t="n"/>
      <c r="H320" s="13" t="n"/>
      <c r="I320" s="13" t="n"/>
      <c r="J320" s="13" t="n"/>
      <c r="K320" s="13" t="n"/>
      <c r="L320" s="13" t="n"/>
      <c r="M320" s="17">
        <f>IF(A320="","",IFERROR(VLOOKUP(A320,Raw_CurrentMonth!A:O,15,FALSE)=TRUE,FALSE))</f>
        <v/>
      </c>
      <c r="N320" s="16">
        <f>IF(A320="","",IF(M320=TRUE,IFERROR(H320,0)+IFERROR(I320,0)+IFERROR(J320,0)+IFERROR(K320,0)+IFERROR(L320,0),0))</f>
        <v/>
      </c>
      <c r="O320" s="16">
        <f>IF(A320="","",IF(M320=TRUE,IFERROR(H320,0),0))</f>
        <v/>
      </c>
      <c r="P320" s="16">
        <f>IF(A320="","",IF(M320=TRUE,IFERROR(I320,0),0))</f>
        <v/>
      </c>
      <c r="Q320" s="16">
        <f>IF(A320="","",IF(M320=TRUE,IFERROR(J320,0),0))</f>
        <v/>
      </c>
      <c r="R320" s="16">
        <f>IF(A320="","",IF(M320=TRUE,IFERROR(K320,0),0))</f>
        <v/>
      </c>
      <c r="S320" s="16">
        <f>IF(A320="","",IF(M320=TRUE,IFERROR(L320,0),0))</f>
        <v/>
      </c>
      <c r="T320" s="16">
        <f>IF(A320="","",IF(M320=TRUE,IFERROR(H320,0)+IFERROR(I320,0)+IFERROR(L320,0),0))</f>
        <v/>
      </c>
    </row>
    <row r="321">
      <c r="A321" s="10" t="n"/>
      <c r="B321" s="10" t="n"/>
      <c r="C321" s="11" t="n"/>
      <c r="D321" s="11" t="n"/>
      <c r="E321" s="10" t="n"/>
      <c r="F321" s="10" t="n"/>
      <c r="G321" s="12" t="n"/>
      <c r="H321" s="13" t="n"/>
      <c r="I321" s="13" t="n"/>
      <c r="J321" s="13" t="n"/>
      <c r="K321" s="13" t="n"/>
      <c r="L321" s="13" t="n"/>
      <c r="M321" s="17">
        <f>IF(A321="","",IFERROR(VLOOKUP(A321,Raw_CurrentMonth!A:O,15,FALSE)=TRUE,FALSE))</f>
        <v/>
      </c>
      <c r="N321" s="16">
        <f>IF(A321="","",IF(M321=TRUE,IFERROR(H321,0)+IFERROR(I321,0)+IFERROR(J321,0)+IFERROR(K321,0)+IFERROR(L321,0),0))</f>
        <v/>
      </c>
      <c r="O321" s="16">
        <f>IF(A321="","",IF(M321=TRUE,IFERROR(H321,0),0))</f>
        <v/>
      </c>
      <c r="P321" s="16">
        <f>IF(A321="","",IF(M321=TRUE,IFERROR(I321,0),0))</f>
        <v/>
      </c>
      <c r="Q321" s="16">
        <f>IF(A321="","",IF(M321=TRUE,IFERROR(J321,0),0))</f>
        <v/>
      </c>
      <c r="R321" s="16">
        <f>IF(A321="","",IF(M321=TRUE,IFERROR(K321,0),0))</f>
        <v/>
      </c>
      <c r="S321" s="16">
        <f>IF(A321="","",IF(M321=TRUE,IFERROR(L321,0),0))</f>
        <v/>
      </c>
      <c r="T321" s="16">
        <f>IF(A321="","",IF(M321=TRUE,IFERROR(H321,0)+IFERROR(I321,0)+IFERROR(L321,0),0))</f>
        <v/>
      </c>
    </row>
    <row r="322">
      <c r="A322" s="10" t="n"/>
      <c r="B322" s="10" t="n"/>
      <c r="C322" s="11" t="n"/>
      <c r="D322" s="11" t="n"/>
      <c r="E322" s="10" t="n"/>
      <c r="F322" s="10" t="n"/>
      <c r="G322" s="12" t="n"/>
      <c r="H322" s="13" t="n"/>
      <c r="I322" s="13" t="n"/>
      <c r="J322" s="13" t="n"/>
      <c r="K322" s="13" t="n"/>
      <c r="L322" s="13" t="n"/>
      <c r="M322" s="17">
        <f>IF(A322="","",IFERROR(VLOOKUP(A322,Raw_CurrentMonth!A:O,15,FALSE)=TRUE,FALSE))</f>
        <v/>
      </c>
      <c r="N322" s="16">
        <f>IF(A322="","",IF(M322=TRUE,IFERROR(H322,0)+IFERROR(I322,0)+IFERROR(J322,0)+IFERROR(K322,0)+IFERROR(L322,0),0))</f>
        <v/>
      </c>
      <c r="O322" s="16">
        <f>IF(A322="","",IF(M322=TRUE,IFERROR(H322,0),0))</f>
        <v/>
      </c>
      <c r="P322" s="16">
        <f>IF(A322="","",IF(M322=TRUE,IFERROR(I322,0),0))</f>
        <v/>
      </c>
      <c r="Q322" s="16">
        <f>IF(A322="","",IF(M322=TRUE,IFERROR(J322,0),0))</f>
        <v/>
      </c>
      <c r="R322" s="16">
        <f>IF(A322="","",IF(M322=TRUE,IFERROR(K322,0),0))</f>
        <v/>
      </c>
      <c r="S322" s="16">
        <f>IF(A322="","",IF(M322=TRUE,IFERROR(L322,0),0))</f>
        <v/>
      </c>
      <c r="T322" s="16">
        <f>IF(A322="","",IF(M322=TRUE,IFERROR(H322,0)+IFERROR(I322,0)+IFERROR(L322,0),0))</f>
        <v/>
      </c>
    </row>
    <row r="323">
      <c r="A323" s="10" t="n"/>
      <c r="B323" s="10" t="n"/>
      <c r="C323" s="11" t="n"/>
      <c r="D323" s="11" t="n"/>
      <c r="E323" s="10" t="n"/>
      <c r="F323" s="10" t="n"/>
      <c r="G323" s="12" t="n"/>
      <c r="H323" s="13" t="n"/>
      <c r="I323" s="13" t="n"/>
      <c r="J323" s="13" t="n"/>
      <c r="K323" s="13" t="n"/>
      <c r="L323" s="13" t="n"/>
      <c r="M323" s="17">
        <f>IF(A323="","",IFERROR(VLOOKUP(A323,Raw_CurrentMonth!A:O,15,FALSE)=TRUE,FALSE))</f>
        <v/>
      </c>
      <c r="N323" s="16">
        <f>IF(A323="","",IF(M323=TRUE,IFERROR(H323,0)+IFERROR(I323,0)+IFERROR(J323,0)+IFERROR(K323,0)+IFERROR(L323,0),0))</f>
        <v/>
      </c>
      <c r="O323" s="16">
        <f>IF(A323="","",IF(M323=TRUE,IFERROR(H323,0),0))</f>
        <v/>
      </c>
      <c r="P323" s="16">
        <f>IF(A323="","",IF(M323=TRUE,IFERROR(I323,0),0))</f>
        <v/>
      </c>
      <c r="Q323" s="16">
        <f>IF(A323="","",IF(M323=TRUE,IFERROR(J323,0),0))</f>
        <v/>
      </c>
      <c r="R323" s="16">
        <f>IF(A323="","",IF(M323=TRUE,IFERROR(K323,0),0))</f>
        <v/>
      </c>
      <c r="S323" s="16">
        <f>IF(A323="","",IF(M323=TRUE,IFERROR(L323,0),0))</f>
        <v/>
      </c>
      <c r="T323" s="16">
        <f>IF(A323="","",IF(M323=TRUE,IFERROR(H323,0)+IFERROR(I323,0)+IFERROR(L323,0),0))</f>
        <v/>
      </c>
    </row>
    <row r="324">
      <c r="A324" s="10" t="n"/>
      <c r="B324" s="10" t="n"/>
      <c r="C324" s="11" t="n"/>
      <c r="D324" s="11" t="n"/>
      <c r="E324" s="10" t="n"/>
      <c r="F324" s="10" t="n"/>
      <c r="G324" s="12" t="n"/>
      <c r="H324" s="13" t="n"/>
      <c r="I324" s="13" t="n"/>
      <c r="J324" s="13" t="n"/>
      <c r="K324" s="13" t="n"/>
      <c r="L324" s="13" t="n"/>
      <c r="M324" s="17">
        <f>IF(A324="","",IFERROR(VLOOKUP(A324,Raw_CurrentMonth!A:O,15,FALSE)=TRUE,FALSE))</f>
        <v/>
      </c>
      <c r="N324" s="16">
        <f>IF(A324="","",IF(M324=TRUE,IFERROR(H324,0)+IFERROR(I324,0)+IFERROR(J324,0)+IFERROR(K324,0)+IFERROR(L324,0),0))</f>
        <v/>
      </c>
      <c r="O324" s="16">
        <f>IF(A324="","",IF(M324=TRUE,IFERROR(H324,0),0))</f>
        <v/>
      </c>
      <c r="P324" s="16">
        <f>IF(A324="","",IF(M324=TRUE,IFERROR(I324,0),0))</f>
        <v/>
      </c>
      <c r="Q324" s="16">
        <f>IF(A324="","",IF(M324=TRUE,IFERROR(J324,0),0))</f>
        <v/>
      </c>
      <c r="R324" s="16">
        <f>IF(A324="","",IF(M324=TRUE,IFERROR(K324,0),0))</f>
        <v/>
      </c>
      <c r="S324" s="16">
        <f>IF(A324="","",IF(M324=TRUE,IFERROR(L324,0),0))</f>
        <v/>
      </c>
      <c r="T324" s="16">
        <f>IF(A324="","",IF(M324=TRUE,IFERROR(H324,0)+IFERROR(I324,0)+IFERROR(L324,0),0))</f>
        <v/>
      </c>
    </row>
    <row r="325">
      <c r="A325" s="10" t="n"/>
      <c r="B325" s="10" t="n"/>
      <c r="C325" s="11" t="n"/>
      <c r="D325" s="11" t="n"/>
      <c r="E325" s="10" t="n"/>
      <c r="F325" s="10" t="n"/>
      <c r="G325" s="12" t="n"/>
      <c r="H325" s="13" t="n"/>
      <c r="I325" s="13" t="n"/>
      <c r="J325" s="13" t="n"/>
      <c r="K325" s="13" t="n"/>
      <c r="L325" s="13" t="n"/>
      <c r="M325" s="17">
        <f>IF(A325="","",IFERROR(VLOOKUP(A325,Raw_CurrentMonth!A:O,15,FALSE)=TRUE,FALSE))</f>
        <v/>
      </c>
      <c r="N325" s="16">
        <f>IF(A325="","",IF(M325=TRUE,IFERROR(H325,0)+IFERROR(I325,0)+IFERROR(J325,0)+IFERROR(K325,0)+IFERROR(L325,0),0))</f>
        <v/>
      </c>
      <c r="O325" s="16">
        <f>IF(A325="","",IF(M325=TRUE,IFERROR(H325,0),0))</f>
        <v/>
      </c>
      <c r="P325" s="16">
        <f>IF(A325="","",IF(M325=TRUE,IFERROR(I325,0),0))</f>
        <v/>
      </c>
      <c r="Q325" s="16">
        <f>IF(A325="","",IF(M325=TRUE,IFERROR(J325,0),0))</f>
        <v/>
      </c>
      <c r="R325" s="16">
        <f>IF(A325="","",IF(M325=TRUE,IFERROR(K325,0),0))</f>
        <v/>
      </c>
      <c r="S325" s="16">
        <f>IF(A325="","",IF(M325=TRUE,IFERROR(L325,0),0))</f>
        <v/>
      </c>
      <c r="T325" s="16">
        <f>IF(A325="","",IF(M325=TRUE,IFERROR(H325,0)+IFERROR(I325,0)+IFERROR(L325,0),0))</f>
        <v/>
      </c>
    </row>
    <row r="326">
      <c r="A326" s="10" t="n"/>
      <c r="B326" s="10" t="n"/>
      <c r="C326" s="11" t="n"/>
      <c r="D326" s="11" t="n"/>
      <c r="E326" s="10" t="n"/>
      <c r="F326" s="10" t="n"/>
      <c r="G326" s="12" t="n"/>
      <c r="H326" s="13" t="n"/>
      <c r="I326" s="13" t="n"/>
      <c r="J326" s="13" t="n"/>
      <c r="K326" s="13" t="n"/>
      <c r="L326" s="13" t="n"/>
      <c r="M326" s="17">
        <f>IF(A326="","",IFERROR(VLOOKUP(A326,Raw_CurrentMonth!A:O,15,FALSE)=TRUE,FALSE))</f>
        <v/>
      </c>
      <c r="N326" s="16">
        <f>IF(A326="","",IF(M326=TRUE,IFERROR(H326,0)+IFERROR(I326,0)+IFERROR(J326,0)+IFERROR(K326,0)+IFERROR(L326,0),0))</f>
        <v/>
      </c>
      <c r="O326" s="16">
        <f>IF(A326="","",IF(M326=TRUE,IFERROR(H326,0),0))</f>
        <v/>
      </c>
      <c r="P326" s="16">
        <f>IF(A326="","",IF(M326=TRUE,IFERROR(I326,0),0))</f>
        <v/>
      </c>
      <c r="Q326" s="16">
        <f>IF(A326="","",IF(M326=TRUE,IFERROR(J326,0),0))</f>
        <v/>
      </c>
      <c r="R326" s="16">
        <f>IF(A326="","",IF(M326=TRUE,IFERROR(K326,0),0))</f>
        <v/>
      </c>
      <c r="S326" s="16">
        <f>IF(A326="","",IF(M326=TRUE,IFERROR(L326,0),0))</f>
        <v/>
      </c>
      <c r="T326" s="16">
        <f>IF(A326="","",IF(M326=TRUE,IFERROR(H326,0)+IFERROR(I326,0)+IFERROR(L326,0),0))</f>
        <v/>
      </c>
    </row>
    <row r="327">
      <c r="A327" s="10" t="n"/>
      <c r="B327" s="10" t="n"/>
      <c r="C327" s="11" t="n"/>
      <c r="D327" s="11" t="n"/>
      <c r="E327" s="10" t="n"/>
      <c r="F327" s="10" t="n"/>
      <c r="G327" s="12" t="n"/>
      <c r="H327" s="13" t="n"/>
      <c r="I327" s="13" t="n"/>
      <c r="J327" s="13" t="n"/>
      <c r="K327" s="13" t="n"/>
      <c r="L327" s="13" t="n"/>
      <c r="M327" s="17">
        <f>IF(A327="","",IFERROR(VLOOKUP(A327,Raw_CurrentMonth!A:O,15,FALSE)=TRUE,FALSE))</f>
        <v/>
      </c>
      <c r="N327" s="16">
        <f>IF(A327="","",IF(M327=TRUE,IFERROR(H327,0)+IFERROR(I327,0)+IFERROR(J327,0)+IFERROR(K327,0)+IFERROR(L327,0),0))</f>
        <v/>
      </c>
      <c r="O327" s="16">
        <f>IF(A327="","",IF(M327=TRUE,IFERROR(H327,0),0))</f>
        <v/>
      </c>
      <c r="P327" s="16">
        <f>IF(A327="","",IF(M327=TRUE,IFERROR(I327,0),0))</f>
        <v/>
      </c>
      <c r="Q327" s="16">
        <f>IF(A327="","",IF(M327=TRUE,IFERROR(J327,0),0))</f>
        <v/>
      </c>
      <c r="R327" s="16">
        <f>IF(A327="","",IF(M327=TRUE,IFERROR(K327,0),0))</f>
        <v/>
      </c>
      <c r="S327" s="16">
        <f>IF(A327="","",IF(M327=TRUE,IFERROR(L327,0),0))</f>
        <v/>
      </c>
      <c r="T327" s="16">
        <f>IF(A327="","",IF(M327=TRUE,IFERROR(H327,0)+IFERROR(I327,0)+IFERROR(L327,0),0))</f>
        <v/>
      </c>
    </row>
    <row r="328">
      <c r="A328" s="10" t="n"/>
      <c r="B328" s="10" t="n"/>
      <c r="C328" s="11" t="n"/>
      <c r="D328" s="11" t="n"/>
      <c r="E328" s="10" t="n"/>
      <c r="F328" s="10" t="n"/>
      <c r="G328" s="12" t="n"/>
      <c r="H328" s="13" t="n"/>
      <c r="I328" s="13" t="n"/>
      <c r="J328" s="13" t="n"/>
      <c r="K328" s="13" t="n"/>
      <c r="L328" s="13" t="n"/>
      <c r="M328" s="17">
        <f>IF(A328="","",IFERROR(VLOOKUP(A328,Raw_CurrentMonth!A:O,15,FALSE)=TRUE,FALSE))</f>
        <v/>
      </c>
      <c r="N328" s="16">
        <f>IF(A328="","",IF(M328=TRUE,IFERROR(H328,0)+IFERROR(I328,0)+IFERROR(J328,0)+IFERROR(K328,0)+IFERROR(L328,0),0))</f>
        <v/>
      </c>
      <c r="O328" s="16">
        <f>IF(A328="","",IF(M328=TRUE,IFERROR(H328,0),0))</f>
        <v/>
      </c>
      <c r="P328" s="16">
        <f>IF(A328="","",IF(M328=TRUE,IFERROR(I328,0),0))</f>
        <v/>
      </c>
      <c r="Q328" s="16">
        <f>IF(A328="","",IF(M328=TRUE,IFERROR(J328,0),0))</f>
        <v/>
      </c>
      <c r="R328" s="16">
        <f>IF(A328="","",IF(M328=TRUE,IFERROR(K328,0),0))</f>
        <v/>
      </c>
      <c r="S328" s="16">
        <f>IF(A328="","",IF(M328=TRUE,IFERROR(L328,0),0))</f>
        <v/>
      </c>
      <c r="T328" s="16">
        <f>IF(A328="","",IF(M328=TRUE,IFERROR(H328,0)+IFERROR(I328,0)+IFERROR(L328,0),0))</f>
        <v/>
      </c>
    </row>
    <row r="329">
      <c r="A329" s="10" t="n"/>
      <c r="B329" s="10" t="n"/>
      <c r="C329" s="11" t="n"/>
      <c r="D329" s="11" t="n"/>
      <c r="E329" s="10" t="n"/>
      <c r="F329" s="10" t="n"/>
      <c r="G329" s="12" t="n"/>
      <c r="H329" s="13" t="n"/>
      <c r="I329" s="13" t="n"/>
      <c r="J329" s="13" t="n"/>
      <c r="K329" s="13" t="n"/>
      <c r="L329" s="13" t="n"/>
      <c r="M329" s="17">
        <f>IF(A329="","",IFERROR(VLOOKUP(A329,Raw_CurrentMonth!A:O,15,FALSE)=TRUE,FALSE))</f>
        <v/>
      </c>
      <c r="N329" s="16">
        <f>IF(A329="","",IF(M329=TRUE,IFERROR(H329,0)+IFERROR(I329,0)+IFERROR(J329,0)+IFERROR(K329,0)+IFERROR(L329,0),0))</f>
        <v/>
      </c>
      <c r="O329" s="16">
        <f>IF(A329="","",IF(M329=TRUE,IFERROR(H329,0),0))</f>
        <v/>
      </c>
      <c r="P329" s="16">
        <f>IF(A329="","",IF(M329=TRUE,IFERROR(I329,0),0))</f>
        <v/>
      </c>
      <c r="Q329" s="16">
        <f>IF(A329="","",IF(M329=TRUE,IFERROR(J329,0),0))</f>
        <v/>
      </c>
      <c r="R329" s="16">
        <f>IF(A329="","",IF(M329=TRUE,IFERROR(K329,0),0))</f>
        <v/>
      </c>
      <c r="S329" s="16">
        <f>IF(A329="","",IF(M329=TRUE,IFERROR(L329,0),0))</f>
        <v/>
      </c>
      <c r="T329" s="16">
        <f>IF(A329="","",IF(M329=TRUE,IFERROR(H329,0)+IFERROR(I329,0)+IFERROR(L329,0),0))</f>
        <v/>
      </c>
    </row>
    <row r="330">
      <c r="A330" s="10" t="n"/>
      <c r="B330" s="10" t="n"/>
      <c r="C330" s="11" t="n"/>
      <c r="D330" s="11" t="n"/>
      <c r="E330" s="10" t="n"/>
      <c r="F330" s="10" t="n"/>
      <c r="G330" s="12" t="n"/>
      <c r="H330" s="13" t="n"/>
      <c r="I330" s="13" t="n"/>
      <c r="J330" s="13" t="n"/>
      <c r="K330" s="13" t="n"/>
      <c r="L330" s="13" t="n"/>
      <c r="M330" s="17">
        <f>IF(A330="","",IFERROR(VLOOKUP(A330,Raw_CurrentMonth!A:O,15,FALSE)=TRUE,FALSE))</f>
        <v/>
      </c>
      <c r="N330" s="16">
        <f>IF(A330="","",IF(M330=TRUE,IFERROR(H330,0)+IFERROR(I330,0)+IFERROR(J330,0)+IFERROR(K330,0)+IFERROR(L330,0),0))</f>
        <v/>
      </c>
      <c r="O330" s="16">
        <f>IF(A330="","",IF(M330=TRUE,IFERROR(H330,0),0))</f>
        <v/>
      </c>
      <c r="P330" s="16">
        <f>IF(A330="","",IF(M330=TRUE,IFERROR(I330,0),0))</f>
        <v/>
      </c>
      <c r="Q330" s="16">
        <f>IF(A330="","",IF(M330=TRUE,IFERROR(J330,0),0))</f>
        <v/>
      </c>
      <c r="R330" s="16">
        <f>IF(A330="","",IF(M330=TRUE,IFERROR(K330,0),0))</f>
        <v/>
      </c>
      <c r="S330" s="16">
        <f>IF(A330="","",IF(M330=TRUE,IFERROR(L330,0),0))</f>
        <v/>
      </c>
      <c r="T330" s="16">
        <f>IF(A330="","",IF(M330=TRUE,IFERROR(H330,0)+IFERROR(I330,0)+IFERROR(L330,0),0))</f>
        <v/>
      </c>
    </row>
    <row r="331">
      <c r="A331" s="10" t="n"/>
      <c r="B331" s="10" t="n"/>
      <c r="C331" s="11" t="n"/>
      <c r="D331" s="11" t="n"/>
      <c r="E331" s="10" t="n"/>
      <c r="F331" s="10" t="n"/>
      <c r="G331" s="12" t="n"/>
      <c r="H331" s="13" t="n"/>
      <c r="I331" s="13" t="n"/>
      <c r="J331" s="13" t="n"/>
      <c r="K331" s="13" t="n"/>
      <c r="L331" s="13" t="n"/>
      <c r="M331" s="17">
        <f>IF(A331="","",IFERROR(VLOOKUP(A331,Raw_CurrentMonth!A:O,15,FALSE)=TRUE,FALSE))</f>
        <v/>
      </c>
      <c r="N331" s="16">
        <f>IF(A331="","",IF(M331=TRUE,IFERROR(H331,0)+IFERROR(I331,0)+IFERROR(J331,0)+IFERROR(K331,0)+IFERROR(L331,0),0))</f>
        <v/>
      </c>
      <c r="O331" s="16">
        <f>IF(A331="","",IF(M331=TRUE,IFERROR(H331,0),0))</f>
        <v/>
      </c>
      <c r="P331" s="16">
        <f>IF(A331="","",IF(M331=TRUE,IFERROR(I331,0),0))</f>
        <v/>
      </c>
      <c r="Q331" s="16">
        <f>IF(A331="","",IF(M331=TRUE,IFERROR(J331,0),0))</f>
        <v/>
      </c>
      <c r="R331" s="16">
        <f>IF(A331="","",IF(M331=TRUE,IFERROR(K331,0),0))</f>
        <v/>
      </c>
      <c r="S331" s="16">
        <f>IF(A331="","",IF(M331=TRUE,IFERROR(L331,0),0))</f>
        <v/>
      </c>
      <c r="T331" s="16">
        <f>IF(A331="","",IF(M331=TRUE,IFERROR(H331,0)+IFERROR(I331,0)+IFERROR(L331,0),0))</f>
        <v/>
      </c>
    </row>
    <row r="332">
      <c r="A332" s="10" t="n"/>
      <c r="B332" s="10" t="n"/>
      <c r="C332" s="11" t="n"/>
      <c r="D332" s="11" t="n"/>
      <c r="E332" s="10" t="n"/>
      <c r="F332" s="10" t="n"/>
      <c r="G332" s="12" t="n"/>
      <c r="H332" s="13" t="n"/>
      <c r="I332" s="13" t="n"/>
      <c r="J332" s="13" t="n"/>
      <c r="K332" s="13" t="n"/>
      <c r="L332" s="13" t="n"/>
      <c r="M332" s="17">
        <f>IF(A332="","",IFERROR(VLOOKUP(A332,Raw_CurrentMonth!A:O,15,FALSE)=TRUE,FALSE))</f>
        <v/>
      </c>
      <c r="N332" s="16">
        <f>IF(A332="","",IF(M332=TRUE,IFERROR(H332,0)+IFERROR(I332,0)+IFERROR(J332,0)+IFERROR(K332,0)+IFERROR(L332,0),0))</f>
        <v/>
      </c>
      <c r="O332" s="16">
        <f>IF(A332="","",IF(M332=TRUE,IFERROR(H332,0),0))</f>
        <v/>
      </c>
      <c r="P332" s="16">
        <f>IF(A332="","",IF(M332=TRUE,IFERROR(I332,0),0))</f>
        <v/>
      </c>
      <c r="Q332" s="16">
        <f>IF(A332="","",IF(M332=TRUE,IFERROR(J332,0),0))</f>
        <v/>
      </c>
      <c r="R332" s="16">
        <f>IF(A332="","",IF(M332=TRUE,IFERROR(K332,0),0))</f>
        <v/>
      </c>
      <c r="S332" s="16">
        <f>IF(A332="","",IF(M332=TRUE,IFERROR(L332,0),0))</f>
        <v/>
      </c>
      <c r="T332" s="16">
        <f>IF(A332="","",IF(M332=TRUE,IFERROR(H332,0)+IFERROR(I332,0)+IFERROR(L332,0),0))</f>
        <v/>
      </c>
    </row>
    <row r="333">
      <c r="A333" s="10" t="n"/>
      <c r="B333" s="10" t="n"/>
      <c r="C333" s="11" t="n"/>
      <c r="D333" s="11" t="n"/>
      <c r="E333" s="10" t="n"/>
      <c r="F333" s="10" t="n"/>
      <c r="G333" s="12" t="n"/>
      <c r="H333" s="13" t="n"/>
      <c r="I333" s="13" t="n"/>
      <c r="J333" s="13" t="n"/>
      <c r="K333" s="13" t="n"/>
      <c r="L333" s="13" t="n"/>
      <c r="M333" s="17">
        <f>IF(A333="","",IFERROR(VLOOKUP(A333,Raw_CurrentMonth!A:O,15,FALSE)=TRUE,FALSE))</f>
        <v/>
      </c>
      <c r="N333" s="16">
        <f>IF(A333="","",IF(M333=TRUE,IFERROR(H333,0)+IFERROR(I333,0)+IFERROR(J333,0)+IFERROR(K333,0)+IFERROR(L333,0),0))</f>
        <v/>
      </c>
      <c r="O333" s="16">
        <f>IF(A333="","",IF(M333=TRUE,IFERROR(H333,0),0))</f>
        <v/>
      </c>
      <c r="P333" s="16">
        <f>IF(A333="","",IF(M333=TRUE,IFERROR(I333,0),0))</f>
        <v/>
      </c>
      <c r="Q333" s="16">
        <f>IF(A333="","",IF(M333=TRUE,IFERROR(J333,0),0))</f>
        <v/>
      </c>
      <c r="R333" s="16">
        <f>IF(A333="","",IF(M333=TRUE,IFERROR(K333,0),0))</f>
        <v/>
      </c>
      <c r="S333" s="16">
        <f>IF(A333="","",IF(M333=TRUE,IFERROR(L333,0),0))</f>
        <v/>
      </c>
      <c r="T333" s="16">
        <f>IF(A333="","",IF(M333=TRUE,IFERROR(H333,0)+IFERROR(I333,0)+IFERROR(L333,0),0))</f>
        <v/>
      </c>
    </row>
    <row r="334">
      <c r="A334" s="10" t="n"/>
      <c r="B334" s="10" t="n"/>
      <c r="C334" s="11" t="n"/>
      <c r="D334" s="11" t="n"/>
      <c r="E334" s="10" t="n"/>
      <c r="F334" s="10" t="n"/>
      <c r="G334" s="12" t="n"/>
      <c r="H334" s="13" t="n"/>
      <c r="I334" s="13" t="n"/>
      <c r="J334" s="13" t="n"/>
      <c r="K334" s="13" t="n"/>
      <c r="L334" s="13" t="n"/>
      <c r="M334" s="17">
        <f>IF(A334="","",IFERROR(VLOOKUP(A334,Raw_CurrentMonth!A:O,15,FALSE)=TRUE,FALSE))</f>
        <v/>
      </c>
      <c r="N334" s="16">
        <f>IF(A334="","",IF(M334=TRUE,IFERROR(H334,0)+IFERROR(I334,0)+IFERROR(J334,0)+IFERROR(K334,0)+IFERROR(L334,0),0))</f>
        <v/>
      </c>
      <c r="O334" s="16">
        <f>IF(A334="","",IF(M334=TRUE,IFERROR(H334,0),0))</f>
        <v/>
      </c>
      <c r="P334" s="16">
        <f>IF(A334="","",IF(M334=TRUE,IFERROR(I334,0),0))</f>
        <v/>
      </c>
      <c r="Q334" s="16">
        <f>IF(A334="","",IF(M334=TRUE,IFERROR(J334,0),0))</f>
        <v/>
      </c>
      <c r="R334" s="16">
        <f>IF(A334="","",IF(M334=TRUE,IFERROR(K334,0),0))</f>
        <v/>
      </c>
      <c r="S334" s="16">
        <f>IF(A334="","",IF(M334=TRUE,IFERROR(L334,0),0))</f>
        <v/>
      </c>
      <c r="T334" s="16">
        <f>IF(A334="","",IF(M334=TRUE,IFERROR(H334,0)+IFERROR(I334,0)+IFERROR(L334,0),0))</f>
        <v/>
      </c>
    </row>
    <row r="335">
      <c r="A335" s="10" t="n"/>
      <c r="B335" s="10" t="n"/>
      <c r="C335" s="11" t="n"/>
      <c r="D335" s="11" t="n"/>
      <c r="E335" s="10" t="n"/>
      <c r="F335" s="10" t="n"/>
      <c r="G335" s="12" t="n"/>
      <c r="H335" s="13" t="n"/>
      <c r="I335" s="13" t="n"/>
      <c r="J335" s="13" t="n"/>
      <c r="K335" s="13" t="n"/>
      <c r="L335" s="13" t="n"/>
      <c r="M335" s="17">
        <f>IF(A335="","",IFERROR(VLOOKUP(A335,Raw_CurrentMonth!A:O,15,FALSE)=TRUE,FALSE))</f>
        <v/>
      </c>
      <c r="N335" s="16">
        <f>IF(A335="","",IF(M335=TRUE,IFERROR(H335,0)+IFERROR(I335,0)+IFERROR(J335,0)+IFERROR(K335,0)+IFERROR(L335,0),0))</f>
        <v/>
      </c>
      <c r="O335" s="16">
        <f>IF(A335="","",IF(M335=TRUE,IFERROR(H335,0),0))</f>
        <v/>
      </c>
      <c r="P335" s="16">
        <f>IF(A335="","",IF(M335=TRUE,IFERROR(I335,0),0))</f>
        <v/>
      </c>
      <c r="Q335" s="16">
        <f>IF(A335="","",IF(M335=TRUE,IFERROR(J335,0),0))</f>
        <v/>
      </c>
      <c r="R335" s="16">
        <f>IF(A335="","",IF(M335=TRUE,IFERROR(K335,0),0))</f>
        <v/>
      </c>
      <c r="S335" s="16">
        <f>IF(A335="","",IF(M335=TRUE,IFERROR(L335,0),0))</f>
        <v/>
      </c>
      <c r="T335" s="16">
        <f>IF(A335="","",IF(M335=TRUE,IFERROR(H335,0)+IFERROR(I335,0)+IFERROR(L335,0),0))</f>
        <v/>
      </c>
    </row>
    <row r="336">
      <c r="A336" s="10" t="n"/>
      <c r="B336" s="10" t="n"/>
      <c r="C336" s="11" t="n"/>
      <c r="D336" s="11" t="n"/>
      <c r="E336" s="10" t="n"/>
      <c r="F336" s="10" t="n"/>
      <c r="G336" s="12" t="n"/>
      <c r="H336" s="13" t="n"/>
      <c r="I336" s="13" t="n"/>
      <c r="J336" s="13" t="n"/>
      <c r="K336" s="13" t="n"/>
      <c r="L336" s="13" t="n"/>
      <c r="M336" s="17">
        <f>IF(A336="","",IFERROR(VLOOKUP(A336,Raw_CurrentMonth!A:O,15,FALSE)=TRUE,FALSE))</f>
        <v/>
      </c>
      <c r="N336" s="16">
        <f>IF(A336="","",IF(M336=TRUE,IFERROR(H336,0)+IFERROR(I336,0)+IFERROR(J336,0)+IFERROR(K336,0)+IFERROR(L336,0),0))</f>
        <v/>
      </c>
      <c r="O336" s="16">
        <f>IF(A336="","",IF(M336=TRUE,IFERROR(H336,0),0))</f>
        <v/>
      </c>
      <c r="P336" s="16">
        <f>IF(A336="","",IF(M336=TRUE,IFERROR(I336,0),0))</f>
        <v/>
      </c>
      <c r="Q336" s="16">
        <f>IF(A336="","",IF(M336=TRUE,IFERROR(J336,0),0))</f>
        <v/>
      </c>
      <c r="R336" s="16">
        <f>IF(A336="","",IF(M336=TRUE,IFERROR(K336,0),0))</f>
        <v/>
      </c>
      <c r="S336" s="16">
        <f>IF(A336="","",IF(M336=TRUE,IFERROR(L336,0),0))</f>
        <v/>
      </c>
      <c r="T336" s="16">
        <f>IF(A336="","",IF(M336=TRUE,IFERROR(H336,0)+IFERROR(I336,0)+IFERROR(L336,0),0))</f>
        <v/>
      </c>
    </row>
    <row r="337">
      <c r="A337" s="10" t="n"/>
      <c r="B337" s="10" t="n"/>
      <c r="C337" s="11" t="n"/>
      <c r="D337" s="11" t="n"/>
      <c r="E337" s="10" t="n"/>
      <c r="F337" s="10" t="n"/>
      <c r="G337" s="12" t="n"/>
      <c r="H337" s="13" t="n"/>
      <c r="I337" s="13" t="n"/>
      <c r="J337" s="13" t="n"/>
      <c r="K337" s="13" t="n"/>
      <c r="L337" s="13" t="n"/>
      <c r="M337" s="17">
        <f>IF(A337="","",IFERROR(VLOOKUP(A337,Raw_CurrentMonth!A:O,15,FALSE)=TRUE,FALSE))</f>
        <v/>
      </c>
      <c r="N337" s="16">
        <f>IF(A337="","",IF(M337=TRUE,IFERROR(H337,0)+IFERROR(I337,0)+IFERROR(J337,0)+IFERROR(K337,0)+IFERROR(L337,0),0))</f>
        <v/>
      </c>
      <c r="O337" s="16">
        <f>IF(A337="","",IF(M337=TRUE,IFERROR(H337,0),0))</f>
        <v/>
      </c>
      <c r="P337" s="16">
        <f>IF(A337="","",IF(M337=TRUE,IFERROR(I337,0),0))</f>
        <v/>
      </c>
      <c r="Q337" s="16">
        <f>IF(A337="","",IF(M337=TRUE,IFERROR(J337,0),0))</f>
        <v/>
      </c>
      <c r="R337" s="16">
        <f>IF(A337="","",IF(M337=TRUE,IFERROR(K337,0),0))</f>
        <v/>
      </c>
      <c r="S337" s="16">
        <f>IF(A337="","",IF(M337=TRUE,IFERROR(L337,0),0))</f>
        <v/>
      </c>
      <c r="T337" s="16">
        <f>IF(A337="","",IF(M337=TRUE,IFERROR(H337,0)+IFERROR(I337,0)+IFERROR(L337,0),0))</f>
        <v/>
      </c>
    </row>
    <row r="338">
      <c r="A338" s="10" t="n"/>
      <c r="B338" s="10" t="n"/>
      <c r="C338" s="11" t="n"/>
      <c r="D338" s="11" t="n"/>
      <c r="E338" s="10" t="n"/>
      <c r="F338" s="10" t="n"/>
      <c r="G338" s="12" t="n"/>
      <c r="H338" s="13" t="n"/>
      <c r="I338" s="13" t="n"/>
      <c r="J338" s="13" t="n"/>
      <c r="K338" s="13" t="n"/>
      <c r="L338" s="13" t="n"/>
      <c r="M338" s="17">
        <f>IF(A338="","",IFERROR(VLOOKUP(A338,Raw_CurrentMonth!A:O,15,FALSE)=TRUE,FALSE))</f>
        <v/>
      </c>
      <c r="N338" s="16">
        <f>IF(A338="","",IF(M338=TRUE,IFERROR(H338,0)+IFERROR(I338,0)+IFERROR(J338,0)+IFERROR(K338,0)+IFERROR(L338,0),0))</f>
        <v/>
      </c>
      <c r="O338" s="16">
        <f>IF(A338="","",IF(M338=TRUE,IFERROR(H338,0),0))</f>
        <v/>
      </c>
      <c r="P338" s="16">
        <f>IF(A338="","",IF(M338=TRUE,IFERROR(I338,0),0))</f>
        <v/>
      </c>
      <c r="Q338" s="16">
        <f>IF(A338="","",IF(M338=TRUE,IFERROR(J338,0),0))</f>
        <v/>
      </c>
      <c r="R338" s="16">
        <f>IF(A338="","",IF(M338=TRUE,IFERROR(K338,0),0))</f>
        <v/>
      </c>
      <c r="S338" s="16">
        <f>IF(A338="","",IF(M338=TRUE,IFERROR(L338,0),0))</f>
        <v/>
      </c>
      <c r="T338" s="16">
        <f>IF(A338="","",IF(M338=TRUE,IFERROR(H338,0)+IFERROR(I338,0)+IFERROR(L338,0),0))</f>
        <v/>
      </c>
    </row>
    <row r="339">
      <c r="A339" s="10" t="n"/>
      <c r="B339" s="10" t="n"/>
      <c r="C339" s="11" t="n"/>
      <c r="D339" s="11" t="n"/>
      <c r="E339" s="10" t="n"/>
      <c r="F339" s="10" t="n"/>
      <c r="G339" s="12" t="n"/>
      <c r="H339" s="13" t="n"/>
      <c r="I339" s="13" t="n"/>
      <c r="J339" s="13" t="n"/>
      <c r="K339" s="13" t="n"/>
      <c r="L339" s="13" t="n"/>
      <c r="M339" s="17">
        <f>IF(A339="","",IFERROR(VLOOKUP(A339,Raw_CurrentMonth!A:O,15,FALSE)=TRUE,FALSE))</f>
        <v/>
      </c>
      <c r="N339" s="16">
        <f>IF(A339="","",IF(M339=TRUE,IFERROR(H339,0)+IFERROR(I339,0)+IFERROR(J339,0)+IFERROR(K339,0)+IFERROR(L339,0),0))</f>
        <v/>
      </c>
      <c r="O339" s="16">
        <f>IF(A339="","",IF(M339=TRUE,IFERROR(H339,0),0))</f>
        <v/>
      </c>
      <c r="P339" s="16">
        <f>IF(A339="","",IF(M339=TRUE,IFERROR(I339,0),0))</f>
        <v/>
      </c>
      <c r="Q339" s="16">
        <f>IF(A339="","",IF(M339=TRUE,IFERROR(J339,0),0))</f>
        <v/>
      </c>
      <c r="R339" s="16">
        <f>IF(A339="","",IF(M339=TRUE,IFERROR(K339,0),0))</f>
        <v/>
      </c>
      <c r="S339" s="16">
        <f>IF(A339="","",IF(M339=TRUE,IFERROR(L339,0),0))</f>
        <v/>
      </c>
      <c r="T339" s="16">
        <f>IF(A339="","",IF(M339=TRUE,IFERROR(H339,0)+IFERROR(I339,0)+IFERROR(L339,0),0))</f>
        <v/>
      </c>
    </row>
    <row r="340">
      <c r="A340" s="10" t="n"/>
      <c r="B340" s="10" t="n"/>
      <c r="C340" s="11" t="n"/>
      <c r="D340" s="11" t="n"/>
      <c r="E340" s="10" t="n"/>
      <c r="F340" s="10" t="n"/>
      <c r="G340" s="12" t="n"/>
      <c r="H340" s="13" t="n"/>
      <c r="I340" s="13" t="n"/>
      <c r="J340" s="13" t="n"/>
      <c r="K340" s="13" t="n"/>
      <c r="L340" s="13" t="n"/>
      <c r="M340" s="17">
        <f>IF(A340="","",IFERROR(VLOOKUP(A340,Raw_CurrentMonth!A:O,15,FALSE)=TRUE,FALSE))</f>
        <v/>
      </c>
      <c r="N340" s="16">
        <f>IF(A340="","",IF(M340=TRUE,IFERROR(H340,0)+IFERROR(I340,0)+IFERROR(J340,0)+IFERROR(K340,0)+IFERROR(L340,0),0))</f>
        <v/>
      </c>
      <c r="O340" s="16">
        <f>IF(A340="","",IF(M340=TRUE,IFERROR(H340,0),0))</f>
        <v/>
      </c>
      <c r="P340" s="16">
        <f>IF(A340="","",IF(M340=TRUE,IFERROR(I340,0),0))</f>
        <v/>
      </c>
      <c r="Q340" s="16">
        <f>IF(A340="","",IF(M340=TRUE,IFERROR(J340,0),0))</f>
        <v/>
      </c>
      <c r="R340" s="16">
        <f>IF(A340="","",IF(M340=TRUE,IFERROR(K340,0),0))</f>
        <v/>
      </c>
      <c r="S340" s="16">
        <f>IF(A340="","",IF(M340=TRUE,IFERROR(L340,0),0))</f>
        <v/>
      </c>
      <c r="T340" s="16">
        <f>IF(A340="","",IF(M340=TRUE,IFERROR(H340,0)+IFERROR(I340,0)+IFERROR(L340,0),0))</f>
        <v/>
      </c>
    </row>
    <row r="341">
      <c r="A341" s="10" t="n"/>
      <c r="B341" s="10" t="n"/>
      <c r="C341" s="11" t="n"/>
      <c r="D341" s="11" t="n"/>
      <c r="E341" s="10" t="n"/>
      <c r="F341" s="10" t="n"/>
      <c r="G341" s="12" t="n"/>
      <c r="H341" s="13" t="n"/>
      <c r="I341" s="13" t="n"/>
      <c r="J341" s="13" t="n"/>
      <c r="K341" s="13" t="n"/>
      <c r="L341" s="13" t="n"/>
      <c r="M341" s="17">
        <f>IF(A341="","",IFERROR(VLOOKUP(A341,Raw_CurrentMonth!A:O,15,FALSE)=TRUE,FALSE))</f>
        <v/>
      </c>
      <c r="N341" s="16">
        <f>IF(A341="","",IF(M341=TRUE,IFERROR(H341,0)+IFERROR(I341,0)+IFERROR(J341,0)+IFERROR(K341,0)+IFERROR(L341,0),0))</f>
        <v/>
      </c>
      <c r="O341" s="16">
        <f>IF(A341="","",IF(M341=TRUE,IFERROR(H341,0),0))</f>
        <v/>
      </c>
      <c r="P341" s="16">
        <f>IF(A341="","",IF(M341=TRUE,IFERROR(I341,0),0))</f>
        <v/>
      </c>
      <c r="Q341" s="16">
        <f>IF(A341="","",IF(M341=TRUE,IFERROR(J341,0),0))</f>
        <v/>
      </c>
      <c r="R341" s="16">
        <f>IF(A341="","",IF(M341=TRUE,IFERROR(K341,0),0))</f>
        <v/>
      </c>
      <c r="S341" s="16">
        <f>IF(A341="","",IF(M341=TRUE,IFERROR(L341,0),0))</f>
        <v/>
      </c>
      <c r="T341" s="16">
        <f>IF(A341="","",IF(M341=TRUE,IFERROR(H341,0)+IFERROR(I341,0)+IFERROR(L341,0),0))</f>
        <v/>
      </c>
    </row>
    <row r="342">
      <c r="A342" s="10" t="n"/>
      <c r="B342" s="10" t="n"/>
      <c r="C342" s="11" t="n"/>
      <c r="D342" s="11" t="n"/>
      <c r="E342" s="10" t="n"/>
      <c r="F342" s="10" t="n"/>
      <c r="G342" s="12" t="n"/>
      <c r="H342" s="13" t="n"/>
      <c r="I342" s="13" t="n"/>
      <c r="J342" s="13" t="n"/>
      <c r="K342" s="13" t="n"/>
      <c r="L342" s="13" t="n"/>
      <c r="M342" s="17">
        <f>IF(A342="","",IFERROR(VLOOKUP(A342,Raw_CurrentMonth!A:O,15,FALSE)=TRUE,FALSE))</f>
        <v/>
      </c>
      <c r="N342" s="16">
        <f>IF(A342="","",IF(M342=TRUE,IFERROR(H342,0)+IFERROR(I342,0)+IFERROR(J342,0)+IFERROR(K342,0)+IFERROR(L342,0),0))</f>
        <v/>
      </c>
      <c r="O342" s="16">
        <f>IF(A342="","",IF(M342=TRUE,IFERROR(H342,0),0))</f>
        <v/>
      </c>
      <c r="P342" s="16">
        <f>IF(A342="","",IF(M342=TRUE,IFERROR(I342,0),0))</f>
        <v/>
      </c>
      <c r="Q342" s="16">
        <f>IF(A342="","",IF(M342=TRUE,IFERROR(J342,0),0))</f>
        <v/>
      </c>
      <c r="R342" s="16">
        <f>IF(A342="","",IF(M342=TRUE,IFERROR(K342,0),0))</f>
        <v/>
      </c>
      <c r="S342" s="16">
        <f>IF(A342="","",IF(M342=TRUE,IFERROR(L342,0),0))</f>
        <v/>
      </c>
      <c r="T342" s="16">
        <f>IF(A342="","",IF(M342=TRUE,IFERROR(H342,0)+IFERROR(I342,0)+IFERROR(L342,0),0))</f>
        <v/>
      </c>
    </row>
    <row r="343">
      <c r="A343" s="10" t="n"/>
      <c r="B343" s="10" t="n"/>
      <c r="C343" s="11" t="n"/>
      <c r="D343" s="11" t="n"/>
      <c r="E343" s="10" t="n"/>
      <c r="F343" s="10" t="n"/>
      <c r="G343" s="12" t="n"/>
      <c r="H343" s="13" t="n"/>
      <c r="I343" s="13" t="n"/>
      <c r="J343" s="13" t="n"/>
      <c r="K343" s="13" t="n"/>
      <c r="L343" s="13" t="n"/>
      <c r="M343" s="17">
        <f>IF(A343="","",IFERROR(VLOOKUP(A343,Raw_CurrentMonth!A:O,15,FALSE)=TRUE,FALSE))</f>
        <v/>
      </c>
      <c r="N343" s="16">
        <f>IF(A343="","",IF(M343=TRUE,IFERROR(H343,0)+IFERROR(I343,0)+IFERROR(J343,0)+IFERROR(K343,0)+IFERROR(L343,0),0))</f>
        <v/>
      </c>
      <c r="O343" s="16">
        <f>IF(A343="","",IF(M343=TRUE,IFERROR(H343,0),0))</f>
        <v/>
      </c>
      <c r="P343" s="16">
        <f>IF(A343="","",IF(M343=TRUE,IFERROR(I343,0),0))</f>
        <v/>
      </c>
      <c r="Q343" s="16">
        <f>IF(A343="","",IF(M343=TRUE,IFERROR(J343,0),0))</f>
        <v/>
      </c>
      <c r="R343" s="16">
        <f>IF(A343="","",IF(M343=TRUE,IFERROR(K343,0),0))</f>
        <v/>
      </c>
      <c r="S343" s="16">
        <f>IF(A343="","",IF(M343=TRUE,IFERROR(L343,0),0))</f>
        <v/>
      </c>
      <c r="T343" s="16">
        <f>IF(A343="","",IF(M343=TRUE,IFERROR(H343,0)+IFERROR(I343,0)+IFERROR(L343,0),0))</f>
        <v/>
      </c>
    </row>
    <row r="344">
      <c r="A344" s="10" t="n"/>
      <c r="B344" s="10" t="n"/>
      <c r="C344" s="11" t="n"/>
      <c r="D344" s="11" t="n"/>
      <c r="E344" s="10" t="n"/>
      <c r="F344" s="10" t="n"/>
      <c r="G344" s="12" t="n"/>
      <c r="H344" s="13" t="n"/>
      <c r="I344" s="13" t="n"/>
      <c r="J344" s="13" t="n"/>
      <c r="K344" s="13" t="n"/>
      <c r="L344" s="13" t="n"/>
      <c r="M344" s="17">
        <f>IF(A344="","",IFERROR(VLOOKUP(A344,Raw_CurrentMonth!A:O,15,FALSE)=TRUE,FALSE))</f>
        <v/>
      </c>
      <c r="N344" s="16">
        <f>IF(A344="","",IF(M344=TRUE,IFERROR(H344,0)+IFERROR(I344,0)+IFERROR(J344,0)+IFERROR(K344,0)+IFERROR(L344,0),0))</f>
        <v/>
      </c>
      <c r="O344" s="16">
        <f>IF(A344="","",IF(M344=TRUE,IFERROR(H344,0),0))</f>
        <v/>
      </c>
      <c r="P344" s="16">
        <f>IF(A344="","",IF(M344=TRUE,IFERROR(I344,0),0))</f>
        <v/>
      </c>
      <c r="Q344" s="16">
        <f>IF(A344="","",IF(M344=TRUE,IFERROR(J344,0),0))</f>
        <v/>
      </c>
      <c r="R344" s="16">
        <f>IF(A344="","",IF(M344=TRUE,IFERROR(K344,0),0))</f>
        <v/>
      </c>
      <c r="S344" s="16">
        <f>IF(A344="","",IF(M344=TRUE,IFERROR(L344,0),0))</f>
        <v/>
      </c>
      <c r="T344" s="16">
        <f>IF(A344="","",IF(M344=TRUE,IFERROR(H344,0)+IFERROR(I344,0)+IFERROR(L344,0),0))</f>
        <v/>
      </c>
    </row>
    <row r="345">
      <c r="A345" s="10" t="n"/>
      <c r="B345" s="10" t="n"/>
      <c r="C345" s="11" t="n"/>
      <c r="D345" s="11" t="n"/>
      <c r="E345" s="10" t="n"/>
      <c r="F345" s="10" t="n"/>
      <c r="G345" s="12" t="n"/>
      <c r="H345" s="13" t="n"/>
      <c r="I345" s="13" t="n"/>
      <c r="J345" s="13" t="n"/>
      <c r="K345" s="13" t="n"/>
      <c r="L345" s="13" t="n"/>
      <c r="M345" s="17">
        <f>IF(A345="","",IFERROR(VLOOKUP(A345,Raw_CurrentMonth!A:O,15,FALSE)=TRUE,FALSE))</f>
        <v/>
      </c>
      <c r="N345" s="16">
        <f>IF(A345="","",IF(M345=TRUE,IFERROR(H345,0)+IFERROR(I345,0)+IFERROR(J345,0)+IFERROR(K345,0)+IFERROR(L345,0),0))</f>
        <v/>
      </c>
      <c r="O345" s="16">
        <f>IF(A345="","",IF(M345=TRUE,IFERROR(H345,0),0))</f>
        <v/>
      </c>
      <c r="P345" s="16">
        <f>IF(A345="","",IF(M345=TRUE,IFERROR(I345,0),0))</f>
        <v/>
      </c>
      <c r="Q345" s="16">
        <f>IF(A345="","",IF(M345=TRUE,IFERROR(J345,0),0))</f>
        <v/>
      </c>
      <c r="R345" s="16">
        <f>IF(A345="","",IF(M345=TRUE,IFERROR(K345,0),0))</f>
        <v/>
      </c>
      <c r="S345" s="16">
        <f>IF(A345="","",IF(M345=TRUE,IFERROR(L345,0),0))</f>
        <v/>
      </c>
      <c r="T345" s="16">
        <f>IF(A345="","",IF(M345=TRUE,IFERROR(H345,0)+IFERROR(I345,0)+IFERROR(L345,0),0))</f>
        <v/>
      </c>
    </row>
    <row r="346">
      <c r="A346" s="10" t="n"/>
      <c r="B346" s="10" t="n"/>
      <c r="C346" s="11" t="n"/>
      <c r="D346" s="11" t="n"/>
      <c r="E346" s="10" t="n"/>
      <c r="F346" s="10" t="n"/>
      <c r="G346" s="12" t="n"/>
      <c r="H346" s="13" t="n"/>
      <c r="I346" s="13" t="n"/>
      <c r="J346" s="13" t="n"/>
      <c r="K346" s="13" t="n"/>
      <c r="L346" s="13" t="n"/>
      <c r="M346" s="17">
        <f>IF(A346="","",IFERROR(VLOOKUP(A346,Raw_CurrentMonth!A:O,15,FALSE)=TRUE,FALSE))</f>
        <v/>
      </c>
      <c r="N346" s="16">
        <f>IF(A346="","",IF(M346=TRUE,IFERROR(H346,0)+IFERROR(I346,0)+IFERROR(J346,0)+IFERROR(K346,0)+IFERROR(L346,0),0))</f>
        <v/>
      </c>
      <c r="O346" s="16">
        <f>IF(A346="","",IF(M346=TRUE,IFERROR(H346,0),0))</f>
        <v/>
      </c>
      <c r="P346" s="16">
        <f>IF(A346="","",IF(M346=TRUE,IFERROR(I346,0),0))</f>
        <v/>
      </c>
      <c r="Q346" s="16">
        <f>IF(A346="","",IF(M346=TRUE,IFERROR(J346,0),0))</f>
        <v/>
      </c>
      <c r="R346" s="16">
        <f>IF(A346="","",IF(M346=TRUE,IFERROR(K346,0),0))</f>
        <v/>
      </c>
      <c r="S346" s="16">
        <f>IF(A346="","",IF(M346=TRUE,IFERROR(L346,0),0))</f>
        <v/>
      </c>
      <c r="T346" s="16">
        <f>IF(A346="","",IF(M346=TRUE,IFERROR(H346,0)+IFERROR(I346,0)+IFERROR(L346,0),0))</f>
        <v/>
      </c>
    </row>
    <row r="347">
      <c r="A347" s="10" t="n"/>
      <c r="B347" s="10" t="n"/>
      <c r="C347" s="11" t="n"/>
      <c r="D347" s="11" t="n"/>
      <c r="E347" s="10" t="n"/>
      <c r="F347" s="10" t="n"/>
      <c r="G347" s="12" t="n"/>
      <c r="H347" s="13" t="n"/>
      <c r="I347" s="13" t="n"/>
      <c r="J347" s="13" t="n"/>
      <c r="K347" s="13" t="n"/>
      <c r="L347" s="13" t="n"/>
      <c r="M347" s="17">
        <f>IF(A347="","",IFERROR(VLOOKUP(A347,Raw_CurrentMonth!A:O,15,FALSE)=TRUE,FALSE))</f>
        <v/>
      </c>
      <c r="N347" s="16">
        <f>IF(A347="","",IF(M347=TRUE,IFERROR(H347,0)+IFERROR(I347,0)+IFERROR(J347,0)+IFERROR(K347,0)+IFERROR(L347,0),0))</f>
        <v/>
      </c>
      <c r="O347" s="16">
        <f>IF(A347="","",IF(M347=TRUE,IFERROR(H347,0),0))</f>
        <v/>
      </c>
      <c r="P347" s="16">
        <f>IF(A347="","",IF(M347=TRUE,IFERROR(I347,0),0))</f>
        <v/>
      </c>
      <c r="Q347" s="16">
        <f>IF(A347="","",IF(M347=TRUE,IFERROR(J347,0),0))</f>
        <v/>
      </c>
      <c r="R347" s="16">
        <f>IF(A347="","",IF(M347=TRUE,IFERROR(K347,0),0))</f>
        <v/>
      </c>
      <c r="S347" s="16">
        <f>IF(A347="","",IF(M347=TRUE,IFERROR(L347,0),0))</f>
        <v/>
      </c>
      <c r="T347" s="16">
        <f>IF(A347="","",IF(M347=TRUE,IFERROR(H347,0)+IFERROR(I347,0)+IFERROR(L347,0),0))</f>
        <v/>
      </c>
    </row>
    <row r="348">
      <c r="A348" s="10" t="n"/>
      <c r="B348" s="10" t="n"/>
      <c r="C348" s="11" t="n"/>
      <c r="D348" s="11" t="n"/>
      <c r="E348" s="10" t="n"/>
      <c r="F348" s="10" t="n"/>
      <c r="G348" s="12" t="n"/>
      <c r="H348" s="13" t="n"/>
      <c r="I348" s="13" t="n"/>
      <c r="J348" s="13" t="n"/>
      <c r="K348" s="13" t="n"/>
      <c r="L348" s="13" t="n"/>
      <c r="M348" s="17">
        <f>IF(A348="","",IFERROR(VLOOKUP(A348,Raw_CurrentMonth!A:O,15,FALSE)=TRUE,FALSE))</f>
        <v/>
      </c>
      <c r="N348" s="16">
        <f>IF(A348="","",IF(M348=TRUE,IFERROR(H348,0)+IFERROR(I348,0)+IFERROR(J348,0)+IFERROR(K348,0)+IFERROR(L348,0),0))</f>
        <v/>
      </c>
      <c r="O348" s="16">
        <f>IF(A348="","",IF(M348=TRUE,IFERROR(H348,0),0))</f>
        <v/>
      </c>
      <c r="P348" s="16">
        <f>IF(A348="","",IF(M348=TRUE,IFERROR(I348,0),0))</f>
        <v/>
      </c>
      <c r="Q348" s="16">
        <f>IF(A348="","",IF(M348=TRUE,IFERROR(J348,0),0))</f>
        <v/>
      </c>
      <c r="R348" s="16">
        <f>IF(A348="","",IF(M348=TRUE,IFERROR(K348,0),0))</f>
        <v/>
      </c>
      <c r="S348" s="16">
        <f>IF(A348="","",IF(M348=TRUE,IFERROR(L348,0),0))</f>
        <v/>
      </c>
      <c r="T348" s="16">
        <f>IF(A348="","",IF(M348=TRUE,IFERROR(H348,0)+IFERROR(I348,0)+IFERROR(L348,0),0))</f>
        <v/>
      </c>
    </row>
    <row r="349">
      <c r="A349" s="10" t="n"/>
      <c r="B349" s="10" t="n"/>
      <c r="C349" s="11" t="n"/>
      <c r="D349" s="11" t="n"/>
      <c r="E349" s="10" t="n"/>
      <c r="F349" s="10" t="n"/>
      <c r="G349" s="12" t="n"/>
      <c r="H349" s="13" t="n"/>
      <c r="I349" s="13" t="n"/>
      <c r="J349" s="13" t="n"/>
      <c r="K349" s="13" t="n"/>
      <c r="L349" s="13" t="n"/>
      <c r="M349" s="17">
        <f>IF(A349="","",IFERROR(VLOOKUP(A349,Raw_CurrentMonth!A:O,15,FALSE)=TRUE,FALSE))</f>
        <v/>
      </c>
      <c r="N349" s="16">
        <f>IF(A349="","",IF(M349=TRUE,IFERROR(H349,0)+IFERROR(I349,0)+IFERROR(J349,0)+IFERROR(K349,0)+IFERROR(L349,0),0))</f>
        <v/>
      </c>
      <c r="O349" s="16">
        <f>IF(A349="","",IF(M349=TRUE,IFERROR(H349,0),0))</f>
        <v/>
      </c>
      <c r="P349" s="16">
        <f>IF(A349="","",IF(M349=TRUE,IFERROR(I349,0),0))</f>
        <v/>
      </c>
      <c r="Q349" s="16">
        <f>IF(A349="","",IF(M349=TRUE,IFERROR(J349,0),0))</f>
        <v/>
      </c>
      <c r="R349" s="16">
        <f>IF(A349="","",IF(M349=TRUE,IFERROR(K349,0),0))</f>
        <v/>
      </c>
      <c r="S349" s="16">
        <f>IF(A349="","",IF(M349=TRUE,IFERROR(L349,0),0))</f>
        <v/>
      </c>
      <c r="T349" s="16">
        <f>IF(A349="","",IF(M349=TRUE,IFERROR(H349,0)+IFERROR(I349,0)+IFERROR(L349,0),0))</f>
        <v/>
      </c>
    </row>
    <row r="350">
      <c r="A350" s="10" t="n"/>
      <c r="B350" s="10" t="n"/>
      <c r="C350" s="11" t="n"/>
      <c r="D350" s="11" t="n"/>
      <c r="E350" s="10" t="n"/>
      <c r="F350" s="10" t="n"/>
      <c r="G350" s="12" t="n"/>
      <c r="H350" s="13" t="n"/>
      <c r="I350" s="13" t="n"/>
      <c r="J350" s="13" t="n"/>
      <c r="K350" s="13" t="n"/>
      <c r="L350" s="13" t="n"/>
      <c r="M350" s="17">
        <f>IF(A350="","",IFERROR(VLOOKUP(A350,Raw_CurrentMonth!A:O,15,FALSE)=TRUE,FALSE))</f>
        <v/>
      </c>
      <c r="N350" s="16">
        <f>IF(A350="","",IF(M350=TRUE,IFERROR(H350,0)+IFERROR(I350,0)+IFERROR(J350,0)+IFERROR(K350,0)+IFERROR(L350,0),0))</f>
        <v/>
      </c>
      <c r="O350" s="16">
        <f>IF(A350="","",IF(M350=TRUE,IFERROR(H350,0),0))</f>
        <v/>
      </c>
      <c r="P350" s="16">
        <f>IF(A350="","",IF(M350=TRUE,IFERROR(I350,0),0))</f>
        <v/>
      </c>
      <c r="Q350" s="16">
        <f>IF(A350="","",IF(M350=TRUE,IFERROR(J350,0),0))</f>
        <v/>
      </c>
      <c r="R350" s="16">
        <f>IF(A350="","",IF(M350=TRUE,IFERROR(K350,0),0))</f>
        <v/>
      </c>
      <c r="S350" s="16">
        <f>IF(A350="","",IF(M350=TRUE,IFERROR(L350,0),0))</f>
        <v/>
      </c>
      <c r="T350" s="16">
        <f>IF(A350="","",IF(M350=TRUE,IFERROR(H350,0)+IFERROR(I350,0)+IFERROR(L350,0),0))</f>
        <v/>
      </c>
    </row>
    <row r="351">
      <c r="A351" s="10" t="n"/>
      <c r="B351" s="10" t="n"/>
      <c r="C351" s="11" t="n"/>
      <c r="D351" s="11" t="n"/>
      <c r="E351" s="10" t="n"/>
      <c r="F351" s="10" t="n"/>
      <c r="G351" s="12" t="n"/>
      <c r="H351" s="13" t="n"/>
      <c r="I351" s="13" t="n"/>
      <c r="J351" s="13" t="n"/>
      <c r="K351" s="13" t="n"/>
      <c r="L351" s="13" t="n"/>
      <c r="M351" s="17">
        <f>IF(A351="","",IFERROR(VLOOKUP(A351,Raw_CurrentMonth!A:O,15,FALSE)=TRUE,FALSE))</f>
        <v/>
      </c>
      <c r="N351" s="16">
        <f>IF(A351="","",IF(M351=TRUE,IFERROR(H351,0)+IFERROR(I351,0)+IFERROR(J351,0)+IFERROR(K351,0)+IFERROR(L351,0),0))</f>
        <v/>
      </c>
      <c r="O351" s="16">
        <f>IF(A351="","",IF(M351=TRUE,IFERROR(H351,0),0))</f>
        <v/>
      </c>
      <c r="P351" s="16">
        <f>IF(A351="","",IF(M351=TRUE,IFERROR(I351,0),0))</f>
        <v/>
      </c>
      <c r="Q351" s="16">
        <f>IF(A351="","",IF(M351=TRUE,IFERROR(J351,0),0))</f>
        <v/>
      </c>
      <c r="R351" s="16">
        <f>IF(A351="","",IF(M351=TRUE,IFERROR(K351,0),0))</f>
        <v/>
      </c>
      <c r="S351" s="16">
        <f>IF(A351="","",IF(M351=TRUE,IFERROR(L351,0),0))</f>
        <v/>
      </c>
      <c r="T351" s="16">
        <f>IF(A351="","",IF(M351=TRUE,IFERROR(H351,0)+IFERROR(I351,0)+IFERROR(L351,0),0))</f>
        <v/>
      </c>
    </row>
    <row r="352">
      <c r="A352" s="10" t="n"/>
      <c r="B352" s="10" t="n"/>
      <c r="C352" s="11" t="n"/>
      <c r="D352" s="11" t="n"/>
      <c r="E352" s="10" t="n"/>
      <c r="F352" s="10" t="n"/>
      <c r="G352" s="12" t="n"/>
      <c r="H352" s="13" t="n"/>
      <c r="I352" s="13" t="n"/>
      <c r="J352" s="13" t="n"/>
      <c r="K352" s="13" t="n"/>
      <c r="L352" s="13" t="n"/>
      <c r="M352" s="17">
        <f>IF(A352="","",IFERROR(VLOOKUP(A352,Raw_CurrentMonth!A:O,15,FALSE)=TRUE,FALSE))</f>
        <v/>
      </c>
      <c r="N352" s="16">
        <f>IF(A352="","",IF(M352=TRUE,IFERROR(H352,0)+IFERROR(I352,0)+IFERROR(J352,0)+IFERROR(K352,0)+IFERROR(L352,0),0))</f>
        <v/>
      </c>
      <c r="O352" s="16">
        <f>IF(A352="","",IF(M352=TRUE,IFERROR(H352,0),0))</f>
        <v/>
      </c>
      <c r="P352" s="16">
        <f>IF(A352="","",IF(M352=TRUE,IFERROR(I352,0),0))</f>
        <v/>
      </c>
      <c r="Q352" s="16">
        <f>IF(A352="","",IF(M352=TRUE,IFERROR(J352,0),0))</f>
        <v/>
      </c>
      <c r="R352" s="16">
        <f>IF(A352="","",IF(M352=TRUE,IFERROR(K352,0),0))</f>
        <v/>
      </c>
      <c r="S352" s="16">
        <f>IF(A352="","",IF(M352=TRUE,IFERROR(L352,0),0))</f>
        <v/>
      </c>
      <c r="T352" s="16">
        <f>IF(A352="","",IF(M352=TRUE,IFERROR(H352,0)+IFERROR(I352,0)+IFERROR(L352,0),0))</f>
        <v/>
      </c>
    </row>
    <row r="353">
      <c r="A353" s="10" t="n"/>
      <c r="B353" s="10" t="n"/>
      <c r="C353" s="11" t="n"/>
      <c r="D353" s="11" t="n"/>
      <c r="E353" s="10" t="n"/>
      <c r="F353" s="10" t="n"/>
      <c r="G353" s="12" t="n"/>
      <c r="H353" s="13" t="n"/>
      <c r="I353" s="13" t="n"/>
      <c r="J353" s="13" t="n"/>
      <c r="K353" s="13" t="n"/>
      <c r="L353" s="13" t="n"/>
      <c r="M353" s="17">
        <f>IF(A353="","",IFERROR(VLOOKUP(A353,Raw_CurrentMonth!A:O,15,FALSE)=TRUE,FALSE))</f>
        <v/>
      </c>
      <c r="N353" s="16">
        <f>IF(A353="","",IF(M353=TRUE,IFERROR(H353,0)+IFERROR(I353,0)+IFERROR(J353,0)+IFERROR(K353,0)+IFERROR(L353,0),0))</f>
        <v/>
      </c>
      <c r="O353" s="16">
        <f>IF(A353="","",IF(M353=TRUE,IFERROR(H353,0),0))</f>
        <v/>
      </c>
      <c r="P353" s="16">
        <f>IF(A353="","",IF(M353=TRUE,IFERROR(I353,0),0))</f>
        <v/>
      </c>
      <c r="Q353" s="16">
        <f>IF(A353="","",IF(M353=TRUE,IFERROR(J353,0),0))</f>
        <v/>
      </c>
      <c r="R353" s="16">
        <f>IF(A353="","",IF(M353=TRUE,IFERROR(K353,0),0))</f>
        <v/>
      </c>
      <c r="S353" s="16">
        <f>IF(A353="","",IF(M353=TRUE,IFERROR(L353,0),0))</f>
        <v/>
      </c>
      <c r="T353" s="16">
        <f>IF(A353="","",IF(M353=TRUE,IFERROR(H353,0)+IFERROR(I353,0)+IFERROR(L353,0),0))</f>
        <v/>
      </c>
    </row>
    <row r="354">
      <c r="A354" s="10" t="n"/>
      <c r="B354" s="10" t="n"/>
      <c r="C354" s="11" t="n"/>
      <c r="D354" s="11" t="n"/>
      <c r="E354" s="10" t="n"/>
      <c r="F354" s="10" t="n"/>
      <c r="G354" s="12" t="n"/>
      <c r="H354" s="13" t="n"/>
      <c r="I354" s="13" t="n"/>
      <c r="J354" s="13" t="n"/>
      <c r="K354" s="13" t="n"/>
      <c r="L354" s="13" t="n"/>
      <c r="M354" s="17">
        <f>IF(A354="","",IFERROR(VLOOKUP(A354,Raw_CurrentMonth!A:O,15,FALSE)=TRUE,FALSE))</f>
        <v/>
      </c>
      <c r="N354" s="16">
        <f>IF(A354="","",IF(M354=TRUE,IFERROR(H354,0)+IFERROR(I354,0)+IFERROR(J354,0)+IFERROR(K354,0)+IFERROR(L354,0),0))</f>
        <v/>
      </c>
      <c r="O354" s="16">
        <f>IF(A354="","",IF(M354=TRUE,IFERROR(H354,0),0))</f>
        <v/>
      </c>
      <c r="P354" s="16">
        <f>IF(A354="","",IF(M354=TRUE,IFERROR(I354,0),0))</f>
        <v/>
      </c>
      <c r="Q354" s="16">
        <f>IF(A354="","",IF(M354=TRUE,IFERROR(J354,0),0))</f>
        <v/>
      </c>
      <c r="R354" s="16">
        <f>IF(A354="","",IF(M354=TRUE,IFERROR(K354,0),0))</f>
        <v/>
      </c>
      <c r="S354" s="16">
        <f>IF(A354="","",IF(M354=TRUE,IFERROR(L354,0),0))</f>
        <v/>
      </c>
      <c r="T354" s="16">
        <f>IF(A354="","",IF(M354=TRUE,IFERROR(H354,0)+IFERROR(I354,0)+IFERROR(L354,0),0))</f>
        <v/>
      </c>
    </row>
    <row r="355">
      <c r="A355" s="10" t="n"/>
      <c r="B355" s="10" t="n"/>
      <c r="C355" s="11" t="n"/>
      <c r="D355" s="11" t="n"/>
      <c r="E355" s="10" t="n"/>
      <c r="F355" s="10" t="n"/>
      <c r="G355" s="12" t="n"/>
      <c r="H355" s="13" t="n"/>
      <c r="I355" s="13" t="n"/>
      <c r="J355" s="13" t="n"/>
      <c r="K355" s="13" t="n"/>
      <c r="L355" s="13" t="n"/>
      <c r="M355" s="17">
        <f>IF(A355="","",IFERROR(VLOOKUP(A355,Raw_CurrentMonth!A:O,15,FALSE)=TRUE,FALSE))</f>
        <v/>
      </c>
      <c r="N355" s="16">
        <f>IF(A355="","",IF(M355=TRUE,IFERROR(H355,0)+IFERROR(I355,0)+IFERROR(J355,0)+IFERROR(K355,0)+IFERROR(L355,0),0))</f>
        <v/>
      </c>
      <c r="O355" s="16">
        <f>IF(A355="","",IF(M355=TRUE,IFERROR(H355,0),0))</f>
        <v/>
      </c>
      <c r="P355" s="16">
        <f>IF(A355="","",IF(M355=TRUE,IFERROR(I355,0),0))</f>
        <v/>
      </c>
      <c r="Q355" s="16">
        <f>IF(A355="","",IF(M355=TRUE,IFERROR(J355,0),0))</f>
        <v/>
      </c>
      <c r="R355" s="16">
        <f>IF(A355="","",IF(M355=TRUE,IFERROR(K355,0),0))</f>
        <v/>
      </c>
      <c r="S355" s="16">
        <f>IF(A355="","",IF(M355=TRUE,IFERROR(L355,0),0))</f>
        <v/>
      </c>
      <c r="T355" s="16">
        <f>IF(A355="","",IF(M355=TRUE,IFERROR(H355,0)+IFERROR(I355,0)+IFERROR(L355,0),0))</f>
        <v/>
      </c>
    </row>
    <row r="356">
      <c r="A356" s="10" t="n"/>
      <c r="B356" s="10" t="n"/>
      <c r="C356" s="11" t="n"/>
      <c r="D356" s="11" t="n"/>
      <c r="E356" s="10" t="n"/>
      <c r="F356" s="10" t="n"/>
      <c r="G356" s="12" t="n"/>
      <c r="H356" s="13" t="n"/>
      <c r="I356" s="13" t="n"/>
      <c r="J356" s="13" t="n"/>
      <c r="K356" s="13" t="n"/>
      <c r="L356" s="13" t="n"/>
      <c r="M356" s="17">
        <f>IF(A356="","",IFERROR(VLOOKUP(A356,Raw_CurrentMonth!A:O,15,FALSE)=TRUE,FALSE))</f>
        <v/>
      </c>
      <c r="N356" s="16">
        <f>IF(A356="","",IF(M356=TRUE,IFERROR(H356,0)+IFERROR(I356,0)+IFERROR(J356,0)+IFERROR(K356,0)+IFERROR(L356,0),0))</f>
        <v/>
      </c>
      <c r="O356" s="16">
        <f>IF(A356="","",IF(M356=TRUE,IFERROR(H356,0),0))</f>
        <v/>
      </c>
      <c r="P356" s="16">
        <f>IF(A356="","",IF(M356=TRUE,IFERROR(I356,0),0))</f>
        <v/>
      </c>
      <c r="Q356" s="16">
        <f>IF(A356="","",IF(M356=TRUE,IFERROR(J356,0),0))</f>
        <v/>
      </c>
      <c r="R356" s="16">
        <f>IF(A356="","",IF(M356=TRUE,IFERROR(K356,0),0))</f>
        <v/>
      </c>
      <c r="S356" s="16">
        <f>IF(A356="","",IF(M356=TRUE,IFERROR(L356,0),0))</f>
        <v/>
      </c>
      <c r="T356" s="16">
        <f>IF(A356="","",IF(M356=TRUE,IFERROR(H356,0)+IFERROR(I356,0)+IFERROR(L356,0),0))</f>
        <v/>
      </c>
    </row>
    <row r="357">
      <c r="A357" s="10" t="n"/>
      <c r="B357" s="10" t="n"/>
      <c r="C357" s="11" t="n"/>
      <c r="D357" s="11" t="n"/>
      <c r="E357" s="10" t="n"/>
      <c r="F357" s="10" t="n"/>
      <c r="G357" s="12" t="n"/>
      <c r="H357" s="13" t="n"/>
      <c r="I357" s="13" t="n"/>
      <c r="J357" s="13" t="n"/>
      <c r="K357" s="13" t="n"/>
      <c r="L357" s="13" t="n"/>
      <c r="M357" s="17">
        <f>IF(A357="","",IFERROR(VLOOKUP(A357,Raw_CurrentMonth!A:O,15,FALSE)=TRUE,FALSE))</f>
        <v/>
      </c>
      <c r="N357" s="16">
        <f>IF(A357="","",IF(M357=TRUE,IFERROR(H357,0)+IFERROR(I357,0)+IFERROR(J357,0)+IFERROR(K357,0)+IFERROR(L357,0),0))</f>
        <v/>
      </c>
      <c r="O357" s="16">
        <f>IF(A357="","",IF(M357=TRUE,IFERROR(H357,0),0))</f>
        <v/>
      </c>
      <c r="P357" s="16">
        <f>IF(A357="","",IF(M357=TRUE,IFERROR(I357,0),0))</f>
        <v/>
      </c>
      <c r="Q357" s="16">
        <f>IF(A357="","",IF(M357=TRUE,IFERROR(J357,0),0))</f>
        <v/>
      </c>
      <c r="R357" s="16">
        <f>IF(A357="","",IF(M357=TRUE,IFERROR(K357,0),0))</f>
        <v/>
      </c>
      <c r="S357" s="16">
        <f>IF(A357="","",IF(M357=TRUE,IFERROR(L357,0),0))</f>
        <v/>
      </c>
      <c r="T357" s="16">
        <f>IF(A357="","",IF(M357=TRUE,IFERROR(H357,0)+IFERROR(I357,0)+IFERROR(L357,0),0))</f>
        <v/>
      </c>
    </row>
    <row r="358">
      <c r="A358" s="10" t="n"/>
      <c r="B358" s="10" t="n"/>
      <c r="C358" s="11" t="n"/>
      <c r="D358" s="11" t="n"/>
      <c r="E358" s="10" t="n"/>
      <c r="F358" s="10" t="n"/>
      <c r="G358" s="12" t="n"/>
      <c r="H358" s="13" t="n"/>
      <c r="I358" s="13" t="n"/>
      <c r="J358" s="13" t="n"/>
      <c r="K358" s="13" t="n"/>
      <c r="L358" s="13" t="n"/>
      <c r="M358" s="17">
        <f>IF(A358="","",IFERROR(VLOOKUP(A358,Raw_CurrentMonth!A:O,15,FALSE)=TRUE,FALSE))</f>
        <v/>
      </c>
      <c r="N358" s="16">
        <f>IF(A358="","",IF(M358=TRUE,IFERROR(H358,0)+IFERROR(I358,0)+IFERROR(J358,0)+IFERROR(K358,0)+IFERROR(L358,0),0))</f>
        <v/>
      </c>
      <c r="O358" s="16">
        <f>IF(A358="","",IF(M358=TRUE,IFERROR(H358,0),0))</f>
        <v/>
      </c>
      <c r="P358" s="16">
        <f>IF(A358="","",IF(M358=TRUE,IFERROR(I358,0),0))</f>
        <v/>
      </c>
      <c r="Q358" s="16">
        <f>IF(A358="","",IF(M358=TRUE,IFERROR(J358,0),0))</f>
        <v/>
      </c>
      <c r="R358" s="16">
        <f>IF(A358="","",IF(M358=TRUE,IFERROR(K358,0),0))</f>
        <v/>
      </c>
      <c r="S358" s="16">
        <f>IF(A358="","",IF(M358=TRUE,IFERROR(L358,0),0))</f>
        <v/>
      </c>
      <c r="T358" s="16">
        <f>IF(A358="","",IF(M358=TRUE,IFERROR(H358,0)+IFERROR(I358,0)+IFERROR(L358,0),0))</f>
        <v/>
      </c>
    </row>
    <row r="359">
      <c r="A359" s="10" t="n"/>
      <c r="B359" s="10" t="n"/>
      <c r="C359" s="11" t="n"/>
      <c r="D359" s="11" t="n"/>
      <c r="E359" s="10" t="n"/>
      <c r="F359" s="10" t="n"/>
      <c r="G359" s="12" t="n"/>
      <c r="H359" s="13" t="n"/>
      <c r="I359" s="13" t="n"/>
      <c r="J359" s="13" t="n"/>
      <c r="K359" s="13" t="n"/>
      <c r="L359" s="13" t="n"/>
      <c r="M359" s="17">
        <f>IF(A359="","",IFERROR(VLOOKUP(A359,Raw_CurrentMonth!A:O,15,FALSE)=TRUE,FALSE))</f>
        <v/>
      </c>
      <c r="N359" s="16">
        <f>IF(A359="","",IF(M359=TRUE,IFERROR(H359,0)+IFERROR(I359,0)+IFERROR(J359,0)+IFERROR(K359,0)+IFERROR(L359,0),0))</f>
        <v/>
      </c>
      <c r="O359" s="16">
        <f>IF(A359="","",IF(M359=TRUE,IFERROR(H359,0),0))</f>
        <v/>
      </c>
      <c r="P359" s="16">
        <f>IF(A359="","",IF(M359=TRUE,IFERROR(I359,0),0))</f>
        <v/>
      </c>
      <c r="Q359" s="16">
        <f>IF(A359="","",IF(M359=TRUE,IFERROR(J359,0),0))</f>
        <v/>
      </c>
      <c r="R359" s="16">
        <f>IF(A359="","",IF(M359=TRUE,IFERROR(K359,0),0))</f>
        <v/>
      </c>
      <c r="S359" s="16">
        <f>IF(A359="","",IF(M359=TRUE,IFERROR(L359,0),0))</f>
        <v/>
      </c>
      <c r="T359" s="16">
        <f>IF(A359="","",IF(M359=TRUE,IFERROR(H359,0)+IFERROR(I359,0)+IFERROR(L359,0),0))</f>
        <v/>
      </c>
    </row>
    <row r="360">
      <c r="A360" s="10" t="n"/>
      <c r="B360" s="10" t="n"/>
      <c r="C360" s="11" t="n"/>
      <c r="D360" s="11" t="n"/>
      <c r="E360" s="10" t="n"/>
      <c r="F360" s="10" t="n"/>
      <c r="G360" s="12" t="n"/>
      <c r="H360" s="13" t="n"/>
      <c r="I360" s="13" t="n"/>
      <c r="J360" s="13" t="n"/>
      <c r="K360" s="13" t="n"/>
      <c r="L360" s="13" t="n"/>
      <c r="M360" s="17">
        <f>IF(A360="","",IFERROR(VLOOKUP(A360,Raw_CurrentMonth!A:O,15,FALSE)=TRUE,FALSE))</f>
        <v/>
      </c>
      <c r="N360" s="16">
        <f>IF(A360="","",IF(M360=TRUE,IFERROR(H360,0)+IFERROR(I360,0)+IFERROR(J360,0)+IFERROR(K360,0)+IFERROR(L360,0),0))</f>
        <v/>
      </c>
      <c r="O360" s="16">
        <f>IF(A360="","",IF(M360=TRUE,IFERROR(H360,0),0))</f>
        <v/>
      </c>
      <c r="P360" s="16">
        <f>IF(A360="","",IF(M360=TRUE,IFERROR(I360,0),0))</f>
        <v/>
      </c>
      <c r="Q360" s="16">
        <f>IF(A360="","",IF(M360=TRUE,IFERROR(J360,0),0))</f>
        <v/>
      </c>
      <c r="R360" s="16">
        <f>IF(A360="","",IF(M360=TRUE,IFERROR(K360,0),0))</f>
        <v/>
      </c>
      <c r="S360" s="16">
        <f>IF(A360="","",IF(M360=TRUE,IFERROR(L360,0),0))</f>
        <v/>
      </c>
      <c r="T360" s="16">
        <f>IF(A360="","",IF(M360=TRUE,IFERROR(H360,0)+IFERROR(I360,0)+IFERROR(L360,0),0))</f>
        <v/>
      </c>
    </row>
    <row r="361">
      <c r="A361" s="10" t="n"/>
      <c r="B361" s="10" t="n"/>
      <c r="C361" s="11" t="n"/>
      <c r="D361" s="11" t="n"/>
      <c r="E361" s="10" t="n"/>
      <c r="F361" s="10" t="n"/>
      <c r="G361" s="12" t="n"/>
      <c r="H361" s="13" t="n"/>
      <c r="I361" s="13" t="n"/>
      <c r="J361" s="13" t="n"/>
      <c r="K361" s="13" t="n"/>
      <c r="L361" s="13" t="n"/>
      <c r="M361" s="17">
        <f>IF(A361="","",IFERROR(VLOOKUP(A361,Raw_CurrentMonth!A:O,15,FALSE)=TRUE,FALSE))</f>
        <v/>
      </c>
      <c r="N361" s="16">
        <f>IF(A361="","",IF(M361=TRUE,IFERROR(H361,0)+IFERROR(I361,0)+IFERROR(J361,0)+IFERROR(K361,0)+IFERROR(L361,0),0))</f>
        <v/>
      </c>
      <c r="O361" s="16">
        <f>IF(A361="","",IF(M361=TRUE,IFERROR(H361,0),0))</f>
        <v/>
      </c>
      <c r="P361" s="16">
        <f>IF(A361="","",IF(M361=TRUE,IFERROR(I361,0),0))</f>
        <v/>
      </c>
      <c r="Q361" s="16">
        <f>IF(A361="","",IF(M361=TRUE,IFERROR(J361,0),0))</f>
        <v/>
      </c>
      <c r="R361" s="16">
        <f>IF(A361="","",IF(M361=TRUE,IFERROR(K361,0),0))</f>
        <v/>
      </c>
      <c r="S361" s="16">
        <f>IF(A361="","",IF(M361=TRUE,IFERROR(L361,0),0))</f>
        <v/>
      </c>
      <c r="T361" s="16">
        <f>IF(A361="","",IF(M361=TRUE,IFERROR(H361,0)+IFERROR(I361,0)+IFERROR(L361,0),0))</f>
        <v/>
      </c>
    </row>
    <row r="362">
      <c r="A362" s="10" t="n"/>
      <c r="B362" s="10" t="n"/>
      <c r="C362" s="11" t="n"/>
      <c r="D362" s="11" t="n"/>
      <c r="E362" s="10" t="n"/>
      <c r="F362" s="10" t="n"/>
      <c r="G362" s="12" t="n"/>
      <c r="H362" s="13" t="n"/>
      <c r="I362" s="13" t="n"/>
      <c r="J362" s="13" t="n"/>
      <c r="K362" s="13" t="n"/>
      <c r="L362" s="13" t="n"/>
      <c r="M362" s="17">
        <f>IF(A362="","",IFERROR(VLOOKUP(A362,Raw_CurrentMonth!A:O,15,FALSE)=TRUE,FALSE))</f>
        <v/>
      </c>
      <c r="N362" s="16">
        <f>IF(A362="","",IF(M362=TRUE,IFERROR(H362,0)+IFERROR(I362,0)+IFERROR(J362,0)+IFERROR(K362,0)+IFERROR(L362,0),0))</f>
        <v/>
      </c>
      <c r="O362" s="16">
        <f>IF(A362="","",IF(M362=TRUE,IFERROR(H362,0),0))</f>
        <v/>
      </c>
      <c r="P362" s="16">
        <f>IF(A362="","",IF(M362=TRUE,IFERROR(I362,0),0))</f>
        <v/>
      </c>
      <c r="Q362" s="16">
        <f>IF(A362="","",IF(M362=TRUE,IFERROR(J362,0),0))</f>
        <v/>
      </c>
      <c r="R362" s="16">
        <f>IF(A362="","",IF(M362=TRUE,IFERROR(K362,0),0))</f>
        <v/>
      </c>
      <c r="S362" s="16">
        <f>IF(A362="","",IF(M362=TRUE,IFERROR(L362,0),0))</f>
        <v/>
      </c>
      <c r="T362" s="16">
        <f>IF(A362="","",IF(M362=TRUE,IFERROR(H362,0)+IFERROR(I362,0)+IFERROR(L362,0),0))</f>
        <v/>
      </c>
    </row>
    <row r="363">
      <c r="A363" s="10" t="n"/>
      <c r="B363" s="10" t="n"/>
      <c r="C363" s="11" t="n"/>
      <c r="D363" s="11" t="n"/>
      <c r="E363" s="10" t="n"/>
      <c r="F363" s="10" t="n"/>
      <c r="G363" s="12" t="n"/>
      <c r="H363" s="13" t="n"/>
      <c r="I363" s="13" t="n"/>
      <c r="J363" s="13" t="n"/>
      <c r="K363" s="13" t="n"/>
      <c r="L363" s="13" t="n"/>
      <c r="M363" s="17">
        <f>IF(A363="","",IFERROR(VLOOKUP(A363,Raw_CurrentMonth!A:O,15,FALSE)=TRUE,FALSE))</f>
        <v/>
      </c>
      <c r="N363" s="16">
        <f>IF(A363="","",IF(M363=TRUE,IFERROR(H363,0)+IFERROR(I363,0)+IFERROR(J363,0)+IFERROR(K363,0)+IFERROR(L363,0),0))</f>
        <v/>
      </c>
      <c r="O363" s="16">
        <f>IF(A363="","",IF(M363=TRUE,IFERROR(H363,0),0))</f>
        <v/>
      </c>
      <c r="P363" s="16">
        <f>IF(A363="","",IF(M363=TRUE,IFERROR(I363,0),0))</f>
        <v/>
      </c>
      <c r="Q363" s="16">
        <f>IF(A363="","",IF(M363=TRUE,IFERROR(J363,0),0))</f>
        <v/>
      </c>
      <c r="R363" s="16">
        <f>IF(A363="","",IF(M363=TRUE,IFERROR(K363,0),0))</f>
        <v/>
      </c>
      <c r="S363" s="16">
        <f>IF(A363="","",IF(M363=TRUE,IFERROR(L363,0),0))</f>
        <v/>
      </c>
      <c r="T363" s="16">
        <f>IF(A363="","",IF(M363=TRUE,IFERROR(H363,0)+IFERROR(I363,0)+IFERROR(L363,0),0))</f>
        <v/>
      </c>
    </row>
    <row r="364">
      <c r="A364" s="10" t="n"/>
      <c r="B364" s="10" t="n"/>
      <c r="C364" s="11" t="n"/>
      <c r="D364" s="11" t="n"/>
      <c r="E364" s="10" t="n"/>
      <c r="F364" s="10" t="n"/>
      <c r="G364" s="12" t="n"/>
      <c r="H364" s="13" t="n"/>
      <c r="I364" s="13" t="n"/>
      <c r="J364" s="13" t="n"/>
      <c r="K364" s="13" t="n"/>
      <c r="L364" s="13" t="n"/>
      <c r="M364" s="17">
        <f>IF(A364="","",IFERROR(VLOOKUP(A364,Raw_CurrentMonth!A:O,15,FALSE)=TRUE,FALSE))</f>
        <v/>
      </c>
      <c r="N364" s="16">
        <f>IF(A364="","",IF(M364=TRUE,IFERROR(H364,0)+IFERROR(I364,0)+IFERROR(J364,0)+IFERROR(K364,0)+IFERROR(L364,0),0))</f>
        <v/>
      </c>
      <c r="O364" s="16">
        <f>IF(A364="","",IF(M364=TRUE,IFERROR(H364,0),0))</f>
        <v/>
      </c>
      <c r="P364" s="16">
        <f>IF(A364="","",IF(M364=TRUE,IFERROR(I364,0),0))</f>
        <v/>
      </c>
      <c r="Q364" s="16">
        <f>IF(A364="","",IF(M364=TRUE,IFERROR(J364,0),0))</f>
        <v/>
      </c>
      <c r="R364" s="16">
        <f>IF(A364="","",IF(M364=TRUE,IFERROR(K364,0),0))</f>
        <v/>
      </c>
      <c r="S364" s="16">
        <f>IF(A364="","",IF(M364=TRUE,IFERROR(L364,0),0))</f>
        <v/>
      </c>
      <c r="T364" s="16">
        <f>IF(A364="","",IF(M364=TRUE,IFERROR(H364,0)+IFERROR(I364,0)+IFERROR(L364,0),0))</f>
        <v/>
      </c>
    </row>
    <row r="365">
      <c r="A365" s="10" t="n"/>
      <c r="B365" s="10" t="n"/>
      <c r="C365" s="11" t="n"/>
      <c r="D365" s="11" t="n"/>
      <c r="E365" s="10" t="n"/>
      <c r="F365" s="10" t="n"/>
      <c r="G365" s="12" t="n"/>
      <c r="H365" s="13" t="n"/>
      <c r="I365" s="13" t="n"/>
      <c r="J365" s="13" t="n"/>
      <c r="K365" s="13" t="n"/>
      <c r="L365" s="13" t="n"/>
      <c r="M365" s="17">
        <f>IF(A365="","",IFERROR(VLOOKUP(A365,Raw_CurrentMonth!A:O,15,FALSE)=TRUE,FALSE))</f>
        <v/>
      </c>
      <c r="N365" s="16">
        <f>IF(A365="","",IF(M365=TRUE,IFERROR(H365,0)+IFERROR(I365,0)+IFERROR(J365,0)+IFERROR(K365,0)+IFERROR(L365,0),0))</f>
        <v/>
      </c>
      <c r="O365" s="16">
        <f>IF(A365="","",IF(M365=TRUE,IFERROR(H365,0),0))</f>
        <v/>
      </c>
      <c r="P365" s="16">
        <f>IF(A365="","",IF(M365=TRUE,IFERROR(I365,0),0))</f>
        <v/>
      </c>
      <c r="Q365" s="16">
        <f>IF(A365="","",IF(M365=TRUE,IFERROR(J365,0),0))</f>
        <v/>
      </c>
      <c r="R365" s="16">
        <f>IF(A365="","",IF(M365=TRUE,IFERROR(K365,0),0))</f>
        <v/>
      </c>
      <c r="S365" s="16">
        <f>IF(A365="","",IF(M365=TRUE,IFERROR(L365,0),0))</f>
        <v/>
      </c>
      <c r="T365" s="16">
        <f>IF(A365="","",IF(M365=TRUE,IFERROR(H365,0)+IFERROR(I365,0)+IFERROR(L365,0),0))</f>
        <v/>
      </c>
    </row>
    <row r="366">
      <c r="A366" s="10" t="n"/>
      <c r="B366" s="10" t="n"/>
      <c r="C366" s="11" t="n"/>
      <c r="D366" s="11" t="n"/>
      <c r="E366" s="10" t="n"/>
      <c r="F366" s="10" t="n"/>
      <c r="G366" s="12" t="n"/>
      <c r="H366" s="13" t="n"/>
      <c r="I366" s="13" t="n"/>
      <c r="J366" s="13" t="n"/>
      <c r="K366" s="13" t="n"/>
      <c r="L366" s="13" t="n"/>
      <c r="M366" s="17">
        <f>IF(A366="","",IFERROR(VLOOKUP(A366,Raw_CurrentMonth!A:O,15,FALSE)=TRUE,FALSE))</f>
        <v/>
      </c>
      <c r="N366" s="16">
        <f>IF(A366="","",IF(M366=TRUE,IFERROR(H366,0)+IFERROR(I366,0)+IFERROR(J366,0)+IFERROR(K366,0)+IFERROR(L366,0),0))</f>
        <v/>
      </c>
      <c r="O366" s="16">
        <f>IF(A366="","",IF(M366=TRUE,IFERROR(H366,0),0))</f>
        <v/>
      </c>
      <c r="P366" s="16">
        <f>IF(A366="","",IF(M366=TRUE,IFERROR(I366,0),0))</f>
        <v/>
      </c>
      <c r="Q366" s="16">
        <f>IF(A366="","",IF(M366=TRUE,IFERROR(J366,0),0))</f>
        <v/>
      </c>
      <c r="R366" s="16">
        <f>IF(A366="","",IF(M366=TRUE,IFERROR(K366,0),0))</f>
        <v/>
      </c>
      <c r="S366" s="16">
        <f>IF(A366="","",IF(M366=TRUE,IFERROR(L366,0),0))</f>
        <v/>
      </c>
      <c r="T366" s="16">
        <f>IF(A366="","",IF(M366=TRUE,IFERROR(H366,0)+IFERROR(I366,0)+IFERROR(L366,0),0))</f>
        <v/>
      </c>
    </row>
    <row r="367">
      <c r="A367" s="10" t="n"/>
      <c r="B367" s="10" t="n"/>
      <c r="C367" s="11" t="n"/>
      <c r="D367" s="11" t="n"/>
      <c r="E367" s="10" t="n"/>
      <c r="F367" s="10" t="n"/>
      <c r="G367" s="12" t="n"/>
      <c r="H367" s="13" t="n"/>
      <c r="I367" s="13" t="n"/>
      <c r="J367" s="13" t="n"/>
      <c r="K367" s="13" t="n"/>
      <c r="L367" s="13" t="n"/>
      <c r="M367" s="17">
        <f>IF(A367="","",IFERROR(VLOOKUP(A367,Raw_CurrentMonth!A:O,15,FALSE)=TRUE,FALSE))</f>
        <v/>
      </c>
      <c r="N367" s="16">
        <f>IF(A367="","",IF(M367=TRUE,IFERROR(H367,0)+IFERROR(I367,0)+IFERROR(J367,0)+IFERROR(K367,0)+IFERROR(L367,0),0))</f>
        <v/>
      </c>
      <c r="O367" s="16">
        <f>IF(A367="","",IF(M367=TRUE,IFERROR(H367,0),0))</f>
        <v/>
      </c>
      <c r="P367" s="16">
        <f>IF(A367="","",IF(M367=TRUE,IFERROR(I367,0),0))</f>
        <v/>
      </c>
      <c r="Q367" s="16">
        <f>IF(A367="","",IF(M367=TRUE,IFERROR(J367,0),0))</f>
        <v/>
      </c>
      <c r="R367" s="16">
        <f>IF(A367="","",IF(M367=TRUE,IFERROR(K367,0),0))</f>
        <v/>
      </c>
      <c r="S367" s="16">
        <f>IF(A367="","",IF(M367=TRUE,IFERROR(L367,0),0))</f>
        <v/>
      </c>
      <c r="T367" s="16">
        <f>IF(A367="","",IF(M367=TRUE,IFERROR(H367,0)+IFERROR(I367,0)+IFERROR(L367,0),0))</f>
        <v/>
      </c>
    </row>
    <row r="368">
      <c r="A368" s="10" t="n"/>
      <c r="B368" s="10" t="n"/>
      <c r="C368" s="11" t="n"/>
      <c r="D368" s="11" t="n"/>
      <c r="E368" s="10" t="n"/>
      <c r="F368" s="10" t="n"/>
      <c r="G368" s="12" t="n"/>
      <c r="H368" s="13" t="n"/>
      <c r="I368" s="13" t="n"/>
      <c r="J368" s="13" t="n"/>
      <c r="K368" s="13" t="n"/>
      <c r="L368" s="13" t="n"/>
      <c r="M368" s="17">
        <f>IF(A368="","",IFERROR(VLOOKUP(A368,Raw_CurrentMonth!A:O,15,FALSE)=TRUE,FALSE))</f>
        <v/>
      </c>
      <c r="N368" s="16">
        <f>IF(A368="","",IF(M368=TRUE,IFERROR(H368,0)+IFERROR(I368,0)+IFERROR(J368,0)+IFERROR(K368,0)+IFERROR(L368,0),0))</f>
        <v/>
      </c>
      <c r="O368" s="16">
        <f>IF(A368="","",IF(M368=TRUE,IFERROR(H368,0),0))</f>
        <v/>
      </c>
      <c r="P368" s="16">
        <f>IF(A368="","",IF(M368=TRUE,IFERROR(I368,0),0))</f>
        <v/>
      </c>
      <c r="Q368" s="16">
        <f>IF(A368="","",IF(M368=TRUE,IFERROR(J368,0),0))</f>
        <v/>
      </c>
      <c r="R368" s="16">
        <f>IF(A368="","",IF(M368=TRUE,IFERROR(K368,0),0))</f>
        <v/>
      </c>
      <c r="S368" s="16">
        <f>IF(A368="","",IF(M368=TRUE,IFERROR(L368,0),0))</f>
        <v/>
      </c>
      <c r="T368" s="16">
        <f>IF(A368="","",IF(M368=TRUE,IFERROR(H368,0)+IFERROR(I368,0)+IFERROR(L368,0),0))</f>
        <v/>
      </c>
    </row>
    <row r="369">
      <c r="A369" s="10" t="n"/>
      <c r="B369" s="10" t="n"/>
      <c r="C369" s="11" t="n"/>
      <c r="D369" s="11" t="n"/>
      <c r="E369" s="10" t="n"/>
      <c r="F369" s="10" t="n"/>
      <c r="G369" s="12" t="n"/>
      <c r="H369" s="13" t="n"/>
      <c r="I369" s="13" t="n"/>
      <c r="J369" s="13" t="n"/>
      <c r="K369" s="13" t="n"/>
      <c r="L369" s="13" t="n"/>
      <c r="M369" s="17">
        <f>IF(A369="","",IFERROR(VLOOKUP(A369,Raw_CurrentMonth!A:O,15,FALSE)=TRUE,FALSE))</f>
        <v/>
      </c>
      <c r="N369" s="16">
        <f>IF(A369="","",IF(M369=TRUE,IFERROR(H369,0)+IFERROR(I369,0)+IFERROR(J369,0)+IFERROR(K369,0)+IFERROR(L369,0),0))</f>
        <v/>
      </c>
      <c r="O369" s="16">
        <f>IF(A369="","",IF(M369=TRUE,IFERROR(H369,0),0))</f>
        <v/>
      </c>
      <c r="P369" s="16">
        <f>IF(A369="","",IF(M369=TRUE,IFERROR(I369,0),0))</f>
        <v/>
      </c>
      <c r="Q369" s="16">
        <f>IF(A369="","",IF(M369=TRUE,IFERROR(J369,0),0))</f>
        <v/>
      </c>
      <c r="R369" s="16">
        <f>IF(A369="","",IF(M369=TRUE,IFERROR(K369,0),0))</f>
        <v/>
      </c>
      <c r="S369" s="16">
        <f>IF(A369="","",IF(M369=TRUE,IFERROR(L369,0),0))</f>
        <v/>
      </c>
      <c r="T369" s="16">
        <f>IF(A369="","",IF(M369=TRUE,IFERROR(H369,0)+IFERROR(I369,0)+IFERROR(L369,0),0))</f>
        <v/>
      </c>
    </row>
    <row r="370">
      <c r="A370" s="10" t="n"/>
      <c r="B370" s="10" t="n"/>
      <c r="C370" s="11" t="n"/>
      <c r="D370" s="11" t="n"/>
      <c r="E370" s="10" t="n"/>
      <c r="F370" s="10" t="n"/>
      <c r="G370" s="12" t="n"/>
      <c r="H370" s="13" t="n"/>
      <c r="I370" s="13" t="n"/>
      <c r="J370" s="13" t="n"/>
      <c r="K370" s="13" t="n"/>
      <c r="L370" s="13" t="n"/>
      <c r="M370" s="17">
        <f>IF(A370="","",IFERROR(VLOOKUP(A370,Raw_CurrentMonth!A:O,15,FALSE)=TRUE,FALSE))</f>
        <v/>
      </c>
      <c r="N370" s="16">
        <f>IF(A370="","",IF(M370=TRUE,IFERROR(H370,0)+IFERROR(I370,0)+IFERROR(J370,0)+IFERROR(K370,0)+IFERROR(L370,0),0))</f>
        <v/>
      </c>
      <c r="O370" s="16">
        <f>IF(A370="","",IF(M370=TRUE,IFERROR(H370,0),0))</f>
        <v/>
      </c>
      <c r="P370" s="16">
        <f>IF(A370="","",IF(M370=TRUE,IFERROR(I370,0),0))</f>
        <v/>
      </c>
      <c r="Q370" s="16">
        <f>IF(A370="","",IF(M370=TRUE,IFERROR(J370,0),0))</f>
        <v/>
      </c>
      <c r="R370" s="16">
        <f>IF(A370="","",IF(M370=TRUE,IFERROR(K370,0),0))</f>
        <v/>
      </c>
      <c r="S370" s="16">
        <f>IF(A370="","",IF(M370=TRUE,IFERROR(L370,0),0))</f>
        <v/>
      </c>
      <c r="T370" s="16">
        <f>IF(A370="","",IF(M370=TRUE,IFERROR(H370,0)+IFERROR(I370,0)+IFERROR(L370,0),0))</f>
        <v/>
      </c>
    </row>
    <row r="371">
      <c r="A371" s="10" t="n"/>
      <c r="B371" s="10" t="n"/>
      <c r="C371" s="11" t="n"/>
      <c r="D371" s="11" t="n"/>
      <c r="E371" s="10" t="n"/>
      <c r="F371" s="10" t="n"/>
      <c r="G371" s="12" t="n"/>
      <c r="H371" s="13" t="n"/>
      <c r="I371" s="13" t="n"/>
      <c r="J371" s="13" t="n"/>
      <c r="K371" s="13" t="n"/>
      <c r="L371" s="13" t="n"/>
      <c r="M371" s="17">
        <f>IF(A371="","",IFERROR(VLOOKUP(A371,Raw_CurrentMonth!A:O,15,FALSE)=TRUE,FALSE))</f>
        <v/>
      </c>
      <c r="N371" s="16">
        <f>IF(A371="","",IF(M371=TRUE,IFERROR(H371,0)+IFERROR(I371,0)+IFERROR(J371,0)+IFERROR(K371,0)+IFERROR(L371,0),0))</f>
        <v/>
      </c>
      <c r="O371" s="16">
        <f>IF(A371="","",IF(M371=TRUE,IFERROR(H371,0),0))</f>
        <v/>
      </c>
      <c r="P371" s="16">
        <f>IF(A371="","",IF(M371=TRUE,IFERROR(I371,0),0))</f>
        <v/>
      </c>
      <c r="Q371" s="16">
        <f>IF(A371="","",IF(M371=TRUE,IFERROR(J371,0),0))</f>
        <v/>
      </c>
      <c r="R371" s="16">
        <f>IF(A371="","",IF(M371=TRUE,IFERROR(K371,0),0))</f>
        <v/>
      </c>
      <c r="S371" s="16">
        <f>IF(A371="","",IF(M371=TRUE,IFERROR(L371,0),0))</f>
        <v/>
      </c>
      <c r="T371" s="16">
        <f>IF(A371="","",IF(M371=TRUE,IFERROR(H371,0)+IFERROR(I371,0)+IFERROR(L371,0),0))</f>
        <v/>
      </c>
    </row>
    <row r="372">
      <c r="A372" s="10" t="n"/>
      <c r="B372" s="10" t="n"/>
      <c r="C372" s="11" t="n"/>
      <c r="D372" s="11" t="n"/>
      <c r="E372" s="10" t="n"/>
      <c r="F372" s="10" t="n"/>
      <c r="G372" s="12" t="n"/>
      <c r="H372" s="13" t="n"/>
      <c r="I372" s="13" t="n"/>
      <c r="J372" s="13" t="n"/>
      <c r="K372" s="13" t="n"/>
      <c r="L372" s="13" t="n"/>
      <c r="M372" s="17">
        <f>IF(A372="","",IFERROR(VLOOKUP(A372,Raw_CurrentMonth!A:O,15,FALSE)=TRUE,FALSE))</f>
        <v/>
      </c>
      <c r="N372" s="16">
        <f>IF(A372="","",IF(M372=TRUE,IFERROR(H372,0)+IFERROR(I372,0)+IFERROR(J372,0)+IFERROR(K372,0)+IFERROR(L372,0),0))</f>
        <v/>
      </c>
      <c r="O372" s="16">
        <f>IF(A372="","",IF(M372=TRUE,IFERROR(H372,0),0))</f>
        <v/>
      </c>
      <c r="P372" s="16">
        <f>IF(A372="","",IF(M372=TRUE,IFERROR(I372,0),0))</f>
        <v/>
      </c>
      <c r="Q372" s="16">
        <f>IF(A372="","",IF(M372=TRUE,IFERROR(J372,0),0))</f>
        <v/>
      </c>
      <c r="R372" s="16">
        <f>IF(A372="","",IF(M372=TRUE,IFERROR(K372,0),0))</f>
        <v/>
      </c>
      <c r="S372" s="16">
        <f>IF(A372="","",IF(M372=TRUE,IFERROR(L372,0),0))</f>
        <v/>
      </c>
      <c r="T372" s="16">
        <f>IF(A372="","",IF(M372=TRUE,IFERROR(H372,0)+IFERROR(I372,0)+IFERROR(L372,0),0))</f>
        <v/>
      </c>
    </row>
    <row r="373">
      <c r="A373" s="10" t="n"/>
      <c r="B373" s="10" t="n"/>
      <c r="C373" s="11" t="n"/>
      <c r="D373" s="11" t="n"/>
      <c r="E373" s="10" t="n"/>
      <c r="F373" s="10" t="n"/>
      <c r="G373" s="12" t="n"/>
      <c r="H373" s="13" t="n"/>
      <c r="I373" s="13" t="n"/>
      <c r="J373" s="13" t="n"/>
      <c r="K373" s="13" t="n"/>
      <c r="L373" s="13" t="n"/>
      <c r="M373" s="17">
        <f>IF(A373="","",IFERROR(VLOOKUP(A373,Raw_CurrentMonth!A:O,15,FALSE)=TRUE,FALSE))</f>
        <v/>
      </c>
      <c r="N373" s="16">
        <f>IF(A373="","",IF(M373=TRUE,IFERROR(H373,0)+IFERROR(I373,0)+IFERROR(J373,0)+IFERROR(K373,0)+IFERROR(L373,0),0))</f>
        <v/>
      </c>
      <c r="O373" s="16">
        <f>IF(A373="","",IF(M373=TRUE,IFERROR(H373,0),0))</f>
        <v/>
      </c>
      <c r="P373" s="16">
        <f>IF(A373="","",IF(M373=TRUE,IFERROR(I373,0),0))</f>
        <v/>
      </c>
      <c r="Q373" s="16">
        <f>IF(A373="","",IF(M373=TRUE,IFERROR(J373,0),0))</f>
        <v/>
      </c>
      <c r="R373" s="16">
        <f>IF(A373="","",IF(M373=TRUE,IFERROR(K373,0),0))</f>
        <v/>
      </c>
      <c r="S373" s="16">
        <f>IF(A373="","",IF(M373=TRUE,IFERROR(L373,0),0))</f>
        <v/>
      </c>
      <c r="T373" s="16">
        <f>IF(A373="","",IF(M373=TRUE,IFERROR(H373,0)+IFERROR(I373,0)+IFERROR(L373,0),0))</f>
        <v/>
      </c>
    </row>
    <row r="374">
      <c r="A374" s="10" t="n"/>
      <c r="B374" s="10" t="n"/>
      <c r="C374" s="11" t="n"/>
      <c r="D374" s="11" t="n"/>
      <c r="E374" s="10" t="n"/>
      <c r="F374" s="10" t="n"/>
      <c r="G374" s="12" t="n"/>
      <c r="H374" s="13" t="n"/>
      <c r="I374" s="13" t="n"/>
      <c r="J374" s="13" t="n"/>
      <c r="K374" s="13" t="n"/>
      <c r="L374" s="13" t="n"/>
      <c r="M374" s="17">
        <f>IF(A374="","",IFERROR(VLOOKUP(A374,Raw_CurrentMonth!A:O,15,FALSE)=TRUE,FALSE))</f>
        <v/>
      </c>
      <c r="N374" s="16">
        <f>IF(A374="","",IF(M374=TRUE,IFERROR(H374,0)+IFERROR(I374,0)+IFERROR(J374,0)+IFERROR(K374,0)+IFERROR(L374,0),0))</f>
        <v/>
      </c>
      <c r="O374" s="16">
        <f>IF(A374="","",IF(M374=TRUE,IFERROR(H374,0),0))</f>
        <v/>
      </c>
      <c r="P374" s="16">
        <f>IF(A374="","",IF(M374=TRUE,IFERROR(I374,0),0))</f>
        <v/>
      </c>
      <c r="Q374" s="16">
        <f>IF(A374="","",IF(M374=TRUE,IFERROR(J374,0),0))</f>
        <v/>
      </c>
      <c r="R374" s="16">
        <f>IF(A374="","",IF(M374=TRUE,IFERROR(K374,0),0))</f>
        <v/>
      </c>
      <c r="S374" s="16">
        <f>IF(A374="","",IF(M374=TRUE,IFERROR(L374,0),0))</f>
        <v/>
      </c>
      <c r="T374" s="16">
        <f>IF(A374="","",IF(M374=TRUE,IFERROR(H374,0)+IFERROR(I374,0)+IFERROR(L374,0),0))</f>
        <v/>
      </c>
    </row>
    <row r="375">
      <c r="A375" s="10" t="n"/>
      <c r="B375" s="10" t="n"/>
      <c r="C375" s="11" t="n"/>
      <c r="D375" s="11" t="n"/>
      <c r="E375" s="10" t="n"/>
      <c r="F375" s="10" t="n"/>
      <c r="G375" s="12" t="n"/>
      <c r="H375" s="13" t="n"/>
      <c r="I375" s="13" t="n"/>
      <c r="J375" s="13" t="n"/>
      <c r="K375" s="13" t="n"/>
      <c r="L375" s="13" t="n"/>
      <c r="M375" s="17">
        <f>IF(A375="","",IFERROR(VLOOKUP(A375,Raw_CurrentMonth!A:O,15,FALSE)=TRUE,FALSE))</f>
        <v/>
      </c>
      <c r="N375" s="16">
        <f>IF(A375="","",IF(M375=TRUE,IFERROR(H375,0)+IFERROR(I375,0)+IFERROR(J375,0)+IFERROR(K375,0)+IFERROR(L375,0),0))</f>
        <v/>
      </c>
      <c r="O375" s="16">
        <f>IF(A375="","",IF(M375=TRUE,IFERROR(H375,0),0))</f>
        <v/>
      </c>
      <c r="P375" s="16">
        <f>IF(A375="","",IF(M375=TRUE,IFERROR(I375,0),0))</f>
        <v/>
      </c>
      <c r="Q375" s="16">
        <f>IF(A375="","",IF(M375=TRUE,IFERROR(J375,0),0))</f>
        <v/>
      </c>
      <c r="R375" s="16">
        <f>IF(A375="","",IF(M375=TRUE,IFERROR(K375,0),0))</f>
        <v/>
      </c>
      <c r="S375" s="16">
        <f>IF(A375="","",IF(M375=TRUE,IFERROR(L375,0),0))</f>
        <v/>
      </c>
      <c r="T375" s="16">
        <f>IF(A375="","",IF(M375=TRUE,IFERROR(H375,0)+IFERROR(I375,0)+IFERROR(L375,0),0))</f>
        <v/>
      </c>
    </row>
    <row r="376">
      <c r="A376" s="10" t="n"/>
      <c r="B376" s="10" t="n"/>
      <c r="C376" s="11" t="n"/>
      <c r="D376" s="11" t="n"/>
      <c r="E376" s="10" t="n"/>
      <c r="F376" s="10" t="n"/>
      <c r="G376" s="12" t="n"/>
      <c r="H376" s="13" t="n"/>
      <c r="I376" s="13" t="n"/>
      <c r="J376" s="13" t="n"/>
      <c r="K376" s="13" t="n"/>
      <c r="L376" s="13" t="n"/>
      <c r="M376" s="17">
        <f>IF(A376="","",IFERROR(VLOOKUP(A376,Raw_CurrentMonth!A:O,15,FALSE)=TRUE,FALSE))</f>
        <v/>
      </c>
      <c r="N376" s="16">
        <f>IF(A376="","",IF(M376=TRUE,IFERROR(H376,0)+IFERROR(I376,0)+IFERROR(J376,0)+IFERROR(K376,0)+IFERROR(L376,0),0))</f>
        <v/>
      </c>
      <c r="O376" s="16">
        <f>IF(A376="","",IF(M376=TRUE,IFERROR(H376,0),0))</f>
        <v/>
      </c>
      <c r="P376" s="16">
        <f>IF(A376="","",IF(M376=TRUE,IFERROR(I376,0),0))</f>
        <v/>
      </c>
      <c r="Q376" s="16">
        <f>IF(A376="","",IF(M376=TRUE,IFERROR(J376,0),0))</f>
        <v/>
      </c>
      <c r="R376" s="16">
        <f>IF(A376="","",IF(M376=TRUE,IFERROR(K376,0),0))</f>
        <v/>
      </c>
      <c r="S376" s="16">
        <f>IF(A376="","",IF(M376=TRUE,IFERROR(L376,0),0))</f>
        <v/>
      </c>
      <c r="T376" s="16">
        <f>IF(A376="","",IF(M376=TRUE,IFERROR(H376,0)+IFERROR(I376,0)+IFERROR(L376,0),0))</f>
        <v/>
      </c>
    </row>
    <row r="377">
      <c r="A377" s="10" t="n"/>
      <c r="B377" s="10" t="n"/>
      <c r="C377" s="11" t="n"/>
      <c r="D377" s="11" t="n"/>
      <c r="E377" s="10" t="n"/>
      <c r="F377" s="10" t="n"/>
      <c r="G377" s="12" t="n"/>
      <c r="H377" s="13" t="n"/>
      <c r="I377" s="13" t="n"/>
      <c r="J377" s="13" t="n"/>
      <c r="K377" s="13" t="n"/>
      <c r="L377" s="13" t="n"/>
      <c r="M377" s="17">
        <f>IF(A377="","",IFERROR(VLOOKUP(A377,Raw_CurrentMonth!A:O,15,FALSE)=TRUE,FALSE))</f>
        <v/>
      </c>
      <c r="N377" s="16">
        <f>IF(A377="","",IF(M377=TRUE,IFERROR(H377,0)+IFERROR(I377,0)+IFERROR(J377,0)+IFERROR(K377,0)+IFERROR(L377,0),0))</f>
        <v/>
      </c>
      <c r="O377" s="16">
        <f>IF(A377="","",IF(M377=TRUE,IFERROR(H377,0),0))</f>
        <v/>
      </c>
      <c r="P377" s="16">
        <f>IF(A377="","",IF(M377=TRUE,IFERROR(I377,0),0))</f>
        <v/>
      </c>
      <c r="Q377" s="16">
        <f>IF(A377="","",IF(M377=TRUE,IFERROR(J377,0),0))</f>
        <v/>
      </c>
      <c r="R377" s="16">
        <f>IF(A377="","",IF(M377=TRUE,IFERROR(K377,0),0))</f>
        <v/>
      </c>
      <c r="S377" s="16">
        <f>IF(A377="","",IF(M377=TRUE,IFERROR(L377,0),0))</f>
        <v/>
      </c>
      <c r="T377" s="16">
        <f>IF(A377="","",IF(M377=TRUE,IFERROR(H377,0)+IFERROR(I377,0)+IFERROR(L377,0),0))</f>
        <v/>
      </c>
    </row>
    <row r="378">
      <c r="A378" s="10" t="n"/>
      <c r="B378" s="10" t="n"/>
      <c r="C378" s="11" t="n"/>
      <c r="D378" s="11" t="n"/>
      <c r="E378" s="10" t="n"/>
      <c r="F378" s="10" t="n"/>
      <c r="G378" s="12" t="n"/>
      <c r="H378" s="13" t="n"/>
      <c r="I378" s="13" t="n"/>
      <c r="J378" s="13" t="n"/>
      <c r="K378" s="13" t="n"/>
      <c r="L378" s="13" t="n"/>
      <c r="M378" s="17">
        <f>IF(A378="","",IFERROR(VLOOKUP(A378,Raw_CurrentMonth!A:O,15,FALSE)=TRUE,FALSE))</f>
        <v/>
      </c>
      <c r="N378" s="16">
        <f>IF(A378="","",IF(M378=TRUE,IFERROR(H378,0)+IFERROR(I378,0)+IFERROR(J378,0)+IFERROR(K378,0)+IFERROR(L378,0),0))</f>
        <v/>
      </c>
      <c r="O378" s="16">
        <f>IF(A378="","",IF(M378=TRUE,IFERROR(H378,0),0))</f>
        <v/>
      </c>
      <c r="P378" s="16">
        <f>IF(A378="","",IF(M378=TRUE,IFERROR(I378,0),0))</f>
        <v/>
      </c>
      <c r="Q378" s="16">
        <f>IF(A378="","",IF(M378=TRUE,IFERROR(J378,0),0))</f>
        <v/>
      </c>
      <c r="R378" s="16">
        <f>IF(A378="","",IF(M378=TRUE,IFERROR(K378,0),0))</f>
        <v/>
      </c>
      <c r="S378" s="16">
        <f>IF(A378="","",IF(M378=TRUE,IFERROR(L378,0),0))</f>
        <v/>
      </c>
      <c r="T378" s="16">
        <f>IF(A378="","",IF(M378=TRUE,IFERROR(H378,0)+IFERROR(I378,0)+IFERROR(L378,0),0))</f>
        <v/>
      </c>
    </row>
    <row r="379">
      <c r="A379" s="10" t="n"/>
      <c r="B379" s="10" t="n"/>
      <c r="C379" s="11" t="n"/>
      <c r="D379" s="11" t="n"/>
      <c r="E379" s="10" t="n"/>
      <c r="F379" s="10" t="n"/>
      <c r="G379" s="12" t="n"/>
      <c r="H379" s="13" t="n"/>
      <c r="I379" s="13" t="n"/>
      <c r="J379" s="13" t="n"/>
      <c r="K379" s="13" t="n"/>
      <c r="L379" s="13" t="n"/>
      <c r="M379" s="17">
        <f>IF(A379="","",IFERROR(VLOOKUP(A379,Raw_CurrentMonth!A:O,15,FALSE)=TRUE,FALSE))</f>
        <v/>
      </c>
      <c r="N379" s="16">
        <f>IF(A379="","",IF(M379=TRUE,IFERROR(H379,0)+IFERROR(I379,0)+IFERROR(J379,0)+IFERROR(K379,0)+IFERROR(L379,0),0))</f>
        <v/>
      </c>
      <c r="O379" s="16">
        <f>IF(A379="","",IF(M379=TRUE,IFERROR(H379,0),0))</f>
        <v/>
      </c>
      <c r="P379" s="16">
        <f>IF(A379="","",IF(M379=TRUE,IFERROR(I379,0),0))</f>
        <v/>
      </c>
      <c r="Q379" s="16">
        <f>IF(A379="","",IF(M379=TRUE,IFERROR(J379,0),0))</f>
        <v/>
      </c>
      <c r="R379" s="16">
        <f>IF(A379="","",IF(M379=TRUE,IFERROR(K379,0),0))</f>
        <v/>
      </c>
      <c r="S379" s="16">
        <f>IF(A379="","",IF(M379=TRUE,IFERROR(L379,0),0))</f>
        <v/>
      </c>
      <c r="T379" s="16">
        <f>IF(A379="","",IF(M379=TRUE,IFERROR(H379,0)+IFERROR(I379,0)+IFERROR(L379,0),0))</f>
        <v/>
      </c>
    </row>
    <row r="380">
      <c r="A380" s="10" t="n"/>
      <c r="B380" s="10" t="n"/>
      <c r="C380" s="11" t="n"/>
      <c r="D380" s="11" t="n"/>
      <c r="E380" s="10" t="n"/>
      <c r="F380" s="10" t="n"/>
      <c r="G380" s="12" t="n"/>
      <c r="H380" s="13" t="n"/>
      <c r="I380" s="13" t="n"/>
      <c r="J380" s="13" t="n"/>
      <c r="K380" s="13" t="n"/>
      <c r="L380" s="13" t="n"/>
      <c r="M380" s="17">
        <f>IF(A380="","",IFERROR(VLOOKUP(A380,Raw_CurrentMonth!A:O,15,FALSE)=TRUE,FALSE))</f>
        <v/>
      </c>
      <c r="N380" s="16">
        <f>IF(A380="","",IF(M380=TRUE,IFERROR(H380,0)+IFERROR(I380,0)+IFERROR(J380,0)+IFERROR(K380,0)+IFERROR(L380,0),0))</f>
        <v/>
      </c>
      <c r="O380" s="16">
        <f>IF(A380="","",IF(M380=TRUE,IFERROR(H380,0),0))</f>
        <v/>
      </c>
      <c r="P380" s="16">
        <f>IF(A380="","",IF(M380=TRUE,IFERROR(I380,0),0))</f>
        <v/>
      </c>
      <c r="Q380" s="16">
        <f>IF(A380="","",IF(M380=TRUE,IFERROR(J380,0),0))</f>
        <v/>
      </c>
      <c r="R380" s="16">
        <f>IF(A380="","",IF(M380=TRUE,IFERROR(K380,0),0))</f>
        <v/>
      </c>
      <c r="S380" s="16">
        <f>IF(A380="","",IF(M380=TRUE,IFERROR(L380,0),0))</f>
        <v/>
      </c>
      <c r="T380" s="16">
        <f>IF(A380="","",IF(M380=TRUE,IFERROR(H380,0)+IFERROR(I380,0)+IFERROR(L380,0),0))</f>
        <v/>
      </c>
    </row>
    <row r="381">
      <c r="A381" s="10" t="n"/>
      <c r="B381" s="10" t="n"/>
      <c r="C381" s="11" t="n"/>
      <c r="D381" s="11" t="n"/>
      <c r="E381" s="10" t="n"/>
      <c r="F381" s="10" t="n"/>
      <c r="G381" s="12" t="n"/>
      <c r="H381" s="13" t="n"/>
      <c r="I381" s="13" t="n"/>
      <c r="J381" s="13" t="n"/>
      <c r="K381" s="13" t="n"/>
      <c r="L381" s="13" t="n"/>
      <c r="M381" s="17">
        <f>IF(A381="","",IFERROR(VLOOKUP(A381,Raw_CurrentMonth!A:O,15,FALSE)=TRUE,FALSE))</f>
        <v/>
      </c>
      <c r="N381" s="16">
        <f>IF(A381="","",IF(M381=TRUE,IFERROR(H381,0)+IFERROR(I381,0)+IFERROR(J381,0)+IFERROR(K381,0)+IFERROR(L381,0),0))</f>
        <v/>
      </c>
      <c r="O381" s="16">
        <f>IF(A381="","",IF(M381=TRUE,IFERROR(H381,0),0))</f>
        <v/>
      </c>
      <c r="P381" s="16">
        <f>IF(A381="","",IF(M381=TRUE,IFERROR(I381,0),0))</f>
        <v/>
      </c>
      <c r="Q381" s="16">
        <f>IF(A381="","",IF(M381=TRUE,IFERROR(J381,0),0))</f>
        <v/>
      </c>
      <c r="R381" s="16">
        <f>IF(A381="","",IF(M381=TRUE,IFERROR(K381,0),0))</f>
        <v/>
      </c>
      <c r="S381" s="16">
        <f>IF(A381="","",IF(M381=TRUE,IFERROR(L381,0),0))</f>
        <v/>
      </c>
      <c r="T381" s="16">
        <f>IF(A381="","",IF(M381=TRUE,IFERROR(H381,0)+IFERROR(I381,0)+IFERROR(L381,0),0))</f>
        <v/>
      </c>
    </row>
    <row r="382">
      <c r="A382" s="10" t="n"/>
      <c r="B382" s="10" t="n"/>
      <c r="C382" s="11" t="n"/>
      <c r="D382" s="11" t="n"/>
      <c r="E382" s="10" t="n"/>
      <c r="F382" s="10" t="n"/>
      <c r="G382" s="12" t="n"/>
      <c r="H382" s="13" t="n"/>
      <c r="I382" s="13" t="n"/>
      <c r="J382" s="13" t="n"/>
      <c r="K382" s="13" t="n"/>
      <c r="L382" s="13" t="n"/>
      <c r="M382" s="17">
        <f>IF(A382="","",IFERROR(VLOOKUP(A382,Raw_CurrentMonth!A:O,15,FALSE)=TRUE,FALSE))</f>
        <v/>
      </c>
      <c r="N382" s="16">
        <f>IF(A382="","",IF(M382=TRUE,IFERROR(H382,0)+IFERROR(I382,0)+IFERROR(J382,0)+IFERROR(K382,0)+IFERROR(L382,0),0))</f>
        <v/>
      </c>
      <c r="O382" s="16">
        <f>IF(A382="","",IF(M382=TRUE,IFERROR(H382,0),0))</f>
        <v/>
      </c>
      <c r="P382" s="16">
        <f>IF(A382="","",IF(M382=TRUE,IFERROR(I382,0),0))</f>
        <v/>
      </c>
      <c r="Q382" s="16">
        <f>IF(A382="","",IF(M382=TRUE,IFERROR(J382,0),0))</f>
        <v/>
      </c>
      <c r="R382" s="16">
        <f>IF(A382="","",IF(M382=TRUE,IFERROR(K382,0),0))</f>
        <v/>
      </c>
      <c r="S382" s="16">
        <f>IF(A382="","",IF(M382=TRUE,IFERROR(L382,0),0))</f>
        <v/>
      </c>
      <c r="T382" s="16">
        <f>IF(A382="","",IF(M382=TRUE,IFERROR(H382,0)+IFERROR(I382,0)+IFERROR(L382,0),0))</f>
        <v/>
      </c>
    </row>
    <row r="383">
      <c r="A383" s="10" t="n"/>
      <c r="B383" s="10" t="n"/>
      <c r="C383" s="11" t="n"/>
      <c r="D383" s="11" t="n"/>
      <c r="E383" s="10" t="n"/>
      <c r="F383" s="10" t="n"/>
      <c r="G383" s="12" t="n"/>
      <c r="H383" s="13" t="n"/>
      <c r="I383" s="13" t="n"/>
      <c r="J383" s="13" t="n"/>
      <c r="K383" s="13" t="n"/>
      <c r="L383" s="13" t="n"/>
      <c r="M383" s="17">
        <f>IF(A383="","",IFERROR(VLOOKUP(A383,Raw_CurrentMonth!A:O,15,FALSE)=TRUE,FALSE))</f>
        <v/>
      </c>
      <c r="N383" s="16">
        <f>IF(A383="","",IF(M383=TRUE,IFERROR(H383,0)+IFERROR(I383,0)+IFERROR(J383,0)+IFERROR(K383,0)+IFERROR(L383,0),0))</f>
        <v/>
      </c>
      <c r="O383" s="16">
        <f>IF(A383="","",IF(M383=TRUE,IFERROR(H383,0),0))</f>
        <v/>
      </c>
      <c r="P383" s="16">
        <f>IF(A383="","",IF(M383=TRUE,IFERROR(I383,0),0))</f>
        <v/>
      </c>
      <c r="Q383" s="16">
        <f>IF(A383="","",IF(M383=TRUE,IFERROR(J383,0),0))</f>
        <v/>
      </c>
      <c r="R383" s="16">
        <f>IF(A383="","",IF(M383=TRUE,IFERROR(K383,0),0))</f>
        <v/>
      </c>
      <c r="S383" s="16">
        <f>IF(A383="","",IF(M383=TRUE,IFERROR(L383,0),0))</f>
        <v/>
      </c>
      <c r="T383" s="16">
        <f>IF(A383="","",IF(M383=TRUE,IFERROR(H383,0)+IFERROR(I383,0)+IFERROR(L383,0),0))</f>
        <v/>
      </c>
    </row>
    <row r="384">
      <c r="A384" s="10" t="n"/>
      <c r="B384" s="10" t="n"/>
      <c r="C384" s="11" t="n"/>
      <c r="D384" s="11" t="n"/>
      <c r="E384" s="10" t="n"/>
      <c r="F384" s="10" t="n"/>
      <c r="G384" s="12" t="n"/>
      <c r="H384" s="13" t="n"/>
      <c r="I384" s="13" t="n"/>
      <c r="J384" s="13" t="n"/>
      <c r="K384" s="13" t="n"/>
      <c r="L384" s="13" t="n"/>
      <c r="M384" s="17">
        <f>IF(A384="","",IFERROR(VLOOKUP(A384,Raw_CurrentMonth!A:O,15,FALSE)=TRUE,FALSE))</f>
        <v/>
      </c>
      <c r="N384" s="16">
        <f>IF(A384="","",IF(M384=TRUE,IFERROR(H384,0)+IFERROR(I384,0)+IFERROR(J384,0)+IFERROR(K384,0)+IFERROR(L384,0),0))</f>
        <v/>
      </c>
      <c r="O384" s="16">
        <f>IF(A384="","",IF(M384=TRUE,IFERROR(H384,0),0))</f>
        <v/>
      </c>
      <c r="P384" s="16">
        <f>IF(A384="","",IF(M384=TRUE,IFERROR(I384,0),0))</f>
        <v/>
      </c>
      <c r="Q384" s="16">
        <f>IF(A384="","",IF(M384=TRUE,IFERROR(J384,0),0))</f>
        <v/>
      </c>
      <c r="R384" s="16">
        <f>IF(A384="","",IF(M384=TRUE,IFERROR(K384,0),0))</f>
        <v/>
      </c>
      <c r="S384" s="16">
        <f>IF(A384="","",IF(M384=TRUE,IFERROR(L384,0),0))</f>
        <v/>
      </c>
      <c r="T384" s="16">
        <f>IF(A384="","",IF(M384=TRUE,IFERROR(H384,0)+IFERROR(I384,0)+IFERROR(L384,0),0))</f>
        <v/>
      </c>
    </row>
    <row r="385">
      <c r="A385" s="10" t="n"/>
      <c r="B385" s="10" t="n"/>
      <c r="C385" s="11" t="n"/>
      <c r="D385" s="11" t="n"/>
      <c r="E385" s="10" t="n"/>
      <c r="F385" s="10" t="n"/>
      <c r="G385" s="12" t="n"/>
      <c r="H385" s="13" t="n"/>
      <c r="I385" s="13" t="n"/>
      <c r="J385" s="13" t="n"/>
      <c r="K385" s="13" t="n"/>
      <c r="L385" s="13" t="n"/>
      <c r="M385" s="17">
        <f>IF(A385="","",IFERROR(VLOOKUP(A385,Raw_CurrentMonth!A:O,15,FALSE)=TRUE,FALSE))</f>
        <v/>
      </c>
      <c r="N385" s="16">
        <f>IF(A385="","",IF(M385=TRUE,IFERROR(H385,0)+IFERROR(I385,0)+IFERROR(J385,0)+IFERROR(K385,0)+IFERROR(L385,0),0))</f>
        <v/>
      </c>
      <c r="O385" s="16">
        <f>IF(A385="","",IF(M385=TRUE,IFERROR(H385,0),0))</f>
        <v/>
      </c>
      <c r="P385" s="16">
        <f>IF(A385="","",IF(M385=TRUE,IFERROR(I385,0),0))</f>
        <v/>
      </c>
      <c r="Q385" s="16">
        <f>IF(A385="","",IF(M385=TRUE,IFERROR(J385,0),0))</f>
        <v/>
      </c>
      <c r="R385" s="16">
        <f>IF(A385="","",IF(M385=TRUE,IFERROR(K385,0),0))</f>
        <v/>
      </c>
      <c r="S385" s="16">
        <f>IF(A385="","",IF(M385=TRUE,IFERROR(L385,0),0))</f>
        <v/>
      </c>
      <c r="T385" s="16">
        <f>IF(A385="","",IF(M385=TRUE,IFERROR(H385,0)+IFERROR(I385,0)+IFERROR(L385,0),0))</f>
        <v/>
      </c>
    </row>
    <row r="386">
      <c r="A386" s="10" t="n"/>
      <c r="B386" s="10" t="n"/>
      <c r="C386" s="11" t="n"/>
      <c r="D386" s="11" t="n"/>
      <c r="E386" s="10" t="n"/>
      <c r="F386" s="10" t="n"/>
      <c r="G386" s="12" t="n"/>
      <c r="H386" s="13" t="n"/>
      <c r="I386" s="13" t="n"/>
      <c r="J386" s="13" t="n"/>
      <c r="K386" s="13" t="n"/>
      <c r="L386" s="13" t="n"/>
      <c r="M386" s="17">
        <f>IF(A386="","",IFERROR(VLOOKUP(A386,Raw_CurrentMonth!A:O,15,FALSE)=TRUE,FALSE))</f>
        <v/>
      </c>
      <c r="N386" s="16">
        <f>IF(A386="","",IF(M386=TRUE,IFERROR(H386,0)+IFERROR(I386,0)+IFERROR(J386,0)+IFERROR(K386,0)+IFERROR(L386,0),0))</f>
        <v/>
      </c>
      <c r="O386" s="16">
        <f>IF(A386="","",IF(M386=TRUE,IFERROR(H386,0),0))</f>
        <v/>
      </c>
      <c r="P386" s="16">
        <f>IF(A386="","",IF(M386=TRUE,IFERROR(I386,0),0))</f>
        <v/>
      </c>
      <c r="Q386" s="16">
        <f>IF(A386="","",IF(M386=TRUE,IFERROR(J386,0),0))</f>
        <v/>
      </c>
      <c r="R386" s="16">
        <f>IF(A386="","",IF(M386=TRUE,IFERROR(K386,0),0))</f>
        <v/>
      </c>
      <c r="S386" s="16">
        <f>IF(A386="","",IF(M386=TRUE,IFERROR(L386,0),0))</f>
        <v/>
      </c>
      <c r="T386" s="16">
        <f>IF(A386="","",IF(M386=TRUE,IFERROR(H386,0)+IFERROR(I386,0)+IFERROR(L386,0),0))</f>
        <v/>
      </c>
    </row>
    <row r="387">
      <c r="A387" s="10" t="n"/>
      <c r="B387" s="10" t="n"/>
      <c r="C387" s="11" t="n"/>
      <c r="D387" s="11" t="n"/>
      <c r="E387" s="10" t="n"/>
      <c r="F387" s="10" t="n"/>
      <c r="G387" s="12" t="n"/>
      <c r="H387" s="13" t="n"/>
      <c r="I387" s="13" t="n"/>
      <c r="J387" s="13" t="n"/>
      <c r="K387" s="13" t="n"/>
      <c r="L387" s="13" t="n"/>
      <c r="M387" s="17">
        <f>IF(A387="","",IFERROR(VLOOKUP(A387,Raw_CurrentMonth!A:O,15,FALSE)=TRUE,FALSE))</f>
        <v/>
      </c>
      <c r="N387" s="16">
        <f>IF(A387="","",IF(M387=TRUE,IFERROR(H387,0)+IFERROR(I387,0)+IFERROR(J387,0)+IFERROR(K387,0)+IFERROR(L387,0),0))</f>
        <v/>
      </c>
      <c r="O387" s="16">
        <f>IF(A387="","",IF(M387=TRUE,IFERROR(H387,0),0))</f>
        <v/>
      </c>
      <c r="P387" s="16">
        <f>IF(A387="","",IF(M387=TRUE,IFERROR(I387,0),0))</f>
        <v/>
      </c>
      <c r="Q387" s="16">
        <f>IF(A387="","",IF(M387=TRUE,IFERROR(J387,0),0))</f>
        <v/>
      </c>
      <c r="R387" s="16">
        <f>IF(A387="","",IF(M387=TRUE,IFERROR(K387,0),0))</f>
        <v/>
      </c>
      <c r="S387" s="16">
        <f>IF(A387="","",IF(M387=TRUE,IFERROR(L387,0),0))</f>
        <v/>
      </c>
      <c r="T387" s="16">
        <f>IF(A387="","",IF(M387=TRUE,IFERROR(H387,0)+IFERROR(I387,0)+IFERROR(L387,0),0))</f>
        <v/>
      </c>
    </row>
    <row r="388">
      <c r="A388" s="10" t="n"/>
      <c r="B388" s="10" t="n"/>
      <c r="C388" s="11" t="n"/>
      <c r="D388" s="11" t="n"/>
      <c r="E388" s="10" t="n"/>
      <c r="F388" s="10" t="n"/>
      <c r="G388" s="12" t="n"/>
      <c r="H388" s="13" t="n"/>
      <c r="I388" s="13" t="n"/>
      <c r="J388" s="13" t="n"/>
      <c r="K388" s="13" t="n"/>
      <c r="L388" s="13" t="n"/>
      <c r="M388" s="17">
        <f>IF(A388="","",IFERROR(VLOOKUP(A388,Raw_CurrentMonth!A:O,15,FALSE)=TRUE,FALSE))</f>
        <v/>
      </c>
      <c r="N388" s="16">
        <f>IF(A388="","",IF(M388=TRUE,IFERROR(H388,0)+IFERROR(I388,0)+IFERROR(J388,0)+IFERROR(K388,0)+IFERROR(L388,0),0))</f>
        <v/>
      </c>
      <c r="O388" s="16">
        <f>IF(A388="","",IF(M388=TRUE,IFERROR(H388,0),0))</f>
        <v/>
      </c>
      <c r="P388" s="16">
        <f>IF(A388="","",IF(M388=TRUE,IFERROR(I388,0),0))</f>
        <v/>
      </c>
      <c r="Q388" s="16">
        <f>IF(A388="","",IF(M388=TRUE,IFERROR(J388,0),0))</f>
        <v/>
      </c>
      <c r="R388" s="16">
        <f>IF(A388="","",IF(M388=TRUE,IFERROR(K388,0),0))</f>
        <v/>
      </c>
      <c r="S388" s="16">
        <f>IF(A388="","",IF(M388=TRUE,IFERROR(L388,0),0))</f>
        <v/>
      </c>
      <c r="T388" s="16">
        <f>IF(A388="","",IF(M388=TRUE,IFERROR(H388,0)+IFERROR(I388,0)+IFERROR(L388,0),0))</f>
        <v/>
      </c>
    </row>
    <row r="389">
      <c r="A389" s="10" t="n"/>
      <c r="B389" s="10" t="n"/>
      <c r="C389" s="11" t="n"/>
      <c r="D389" s="11" t="n"/>
      <c r="E389" s="10" t="n"/>
      <c r="F389" s="10" t="n"/>
      <c r="G389" s="12" t="n"/>
      <c r="H389" s="13" t="n"/>
      <c r="I389" s="13" t="n"/>
      <c r="J389" s="13" t="n"/>
      <c r="K389" s="13" t="n"/>
      <c r="L389" s="13" t="n"/>
      <c r="M389" s="17">
        <f>IF(A389="","",IFERROR(VLOOKUP(A389,Raw_CurrentMonth!A:O,15,FALSE)=TRUE,FALSE))</f>
        <v/>
      </c>
      <c r="N389" s="16">
        <f>IF(A389="","",IF(M389=TRUE,IFERROR(H389,0)+IFERROR(I389,0)+IFERROR(J389,0)+IFERROR(K389,0)+IFERROR(L389,0),0))</f>
        <v/>
      </c>
      <c r="O389" s="16">
        <f>IF(A389="","",IF(M389=TRUE,IFERROR(H389,0),0))</f>
        <v/>
      </c>
      <c r="P389" s="16">
        <f>IF(A389="","",IF(M389=TRUE,IFERROR(I389,0),0))</f>
        <v/>
      </c>
      <c r="Q389" s="16">
        <f>IF(A389="","",IF(M389=TRUE,IFERROR(J389,0),0))</f>
        <v/>
      </c>
      <c r="R389" s="16">
        <f>IF(A389="","",IF(M389=TRUE,IFERROR(K389,0),0))</f>
        <v/>
      </c>
      <c r="S389" s="16">
        <f>IF(A389="","",IF(M389=TRUE,IFERROR(L389,0),0))</f>
        <v/>
      </c>
      <c r="T389" s="16">
        <f>IF(A389="","",IF(M389=TRUE,IFERROR(H389,0)+IFERROR(I389,0)+IFERROR(L389,0),0))</f>
        <v/>
      </c>
    </row>
    <row r="390">
      <c r="A390" s="10" t="n"/>
      <c r="B390" s="10" t="n"/>
      <c r="C390" s="11" t="n"/>
      <c r="D390" s="11" t="n"/>
      <c r="E390" s="10" t="n"/>
      <c r="F390" s="10" t="n"/>
      <c r="G390" s="12" t="n"/>
      <c r="H390" s="13" t="n"/>
      <c r="I390" s="13" t="n"/>
      <c r="J390" s="13" t="n"/>
      <c r="K390" s="13" t="n"/>
      <c r="L390" s="13" t="n"/>
      <c r="M390" s="17">
        <f>IF(A390="","",IFERROR(VLOOKUP(A390,Raw_CurrentMonth!A:O,15,FALSE)=TRUE,FALSE))</f>
        <v/>
      </c>
      <c r="N390" s="16">
        <f>IF(A390="","",IF(M390=TRUE,IFERROR(H390,0)+IFERROR(I390,0)+IFERROR(J390,0)+IFERROR(K390,0)+IFERROR(L390,0),0))</f>
        <v/>
      </c>
      <c r="O390" s="16">
        <f>IF(A390="","",IF(M390=TRUE,IFERROR(H390,0),0))</f>
        <v/>
      </c>
      <c r="P390" s="16">
        <f>IF(A390="","",IF(M390=TRUE,IFERROR(I390,0),0))</f>
        <v/>
      </c>
      <c r="Q390" s="16">
        <f>IF(A390="","",IF(M390=TRUE,IFERROR(J390,0),0))</f>
        <v/>
      </c>
      <c r="R390" s="16">
        <f>IF(A390="","",IF(M390=TRUE,IFERROR(K390,0),0))</f>
        <v/>
      </c>
      <c r="S390" s="16">
        <f>IF(A390="","",IF(M390=TRUE,IFERROR(L390,0),0))</f>
        <v/>
      </c>
      <c r="T390" s="16">
        <f>IF(A390="","",IF(M390=TRUE,IFERROR(H390,0)+IFERROR(I390,0)+IFERROR(L390,0),0))</f>
        <v/>
      </c>
    </row>
    <row r="391">
      <c r="A391" s="10" t="n"/>
      <c r="B391" s="10" t="n"/>
      <c r="C391" s="11" t="n"/>
      <c r="D391" s="11" t="n"/>
      <c r="E391" s="10" t="n"/>
      <c r="F391" s="10" t="n"/>
      <c r="G391" s="12" t="n"/>
      <c r="H391" s="13" t="n"/>
      <c r="I391" s="13" t="n"/>
      <c r="J391" s="13" t="n"/>
      <c r="K391" s="13" t="n"/>
      <c r="L391" s="13" t="n"/>
      <c r="M391" s="17">
        <f>IF(A391="","",IFERROR(VLOOKUP(A391,Raw_CurrentMonth!A:O,15,FALSE)=TRUE,FALSE))</f>
        <v/>
      </c>
      <c r="N391" s="16">
        <f>IF(A391="","",IF(M391=TRUE,IFERROR(H391,0)+IFERROR(I391,0)+IFERROR(J391,0)+IFERROR(K391,0)+IFERROR(L391,0),0))</f>
        <v/>
      </c>
      <c r="O391" s="16">
        <f>IF(A391="","",IF(M391=TRUE,IFERROR(H391,0),0))</f>
        <v/>
      </c>
      <c r="P391" s="16">
        <f>IF(A391="","",IF(M391=TRUE,IFERROR(I391,0),0))</f>
        <v/>
      </c>
      <c r="Q391" s="16">
        <f>IF(A391="","",IF(M391=TRUE,IFERROR(J391,0),0))</f>
        <v/>
      </c>
      <c r="R391" s="16">
        <f>IF(A391="","",IF(M391=TRUE,IFERROR(K391,0),0))</f>
        <v/>
      </c>
      <c r="S391" s="16">
        <f>IF(A391="","",IF(M391=TRUE,IFERROR(L391,0),0))</f>
        <v/>
      </c>
      <c r="T391" s="16">
        <f>IF(A391="","",IF(M391=TRUE,IFERROR(H391,0)+IFERROR(I391,0)+IFERROR(L391,0),0))</f>
        <v/>
      </c>
    </row>
    <row r="392">
      <c r="A392" s="10" t="n"/>
      <c r="B392" s="10" t="n"/>
      <c r="C392" s="11" t="n"/>
      <c r="D392" s="11" t="n"/>
      <c r="E392" s="10" t="n"/>
      <c r="F392" s="10" t="n"/>
      <c r="G392" s="12" t="n"/>
      <c r="H392" s="13" t="n"/>
      <c r="I392" s="13" t="n"/>
      <c r="J392" s="13" t="n"/>
      <c r="K392" s="13" t="n"/>
      <c r="L392" s="13" t="n"/>
      <c r="M392" s="17">
        <f>IF(A392="","",IFERROR(VLOOKUP(A392,Raw_CurrentMonth!A:O,15,FALSE)=TRUE,FALSE))</f>
        <v/>
      </c>
      <c r="N392" s="16">
        <f>IF(A392="","",IF(M392=TRUE,IFERROR(H392,0)+IFERROR(I392,0)+IFERROR(J392,0)+IFERROR(K392,0)+IFERROR(L392,0),0))</f>
        <v/>
      </c>
      <c r="O392" s="16">
        <f>IF(A392="","",IF(M392=TRUE,IFERROR(H392,0),0))</f>
        <v/>
      </c>
      <c r="P392" s="16">
        <f>IF(A392="","",IF(M392=TRUE,IFERROR(I392,0),0))</f>
        <v/>
      </c>
      <c r="Q392" s="16">
        <f>IF(A392="","",IF(M392=TRUE,IFERROR(J392,0),0))</f>
        <v/>
      </c>
      <c r="R392" s="16">
        <f>IF(A392="","",IF(M392=TRUE,IFERROR(K392,0),0))</f>
        <v/>
      </c>
      <c r="S392" s="16">
        <f>IF(A392="","",IF(M392=TRUE,IFERROR(L392,0),0))</f>
        <v/>
      </c>
      <c r="T392" s="16">
        <f>IF(A392="","",IF(M392=TRUE,IFERROR(H392,0)+IFERROR(I392,0)+IFERROR(L392,0),0))</f>
        <v/>
      </c>
    </row>
    <row r="393">
      <c r="A393" s="10" t="n"/>
      <c r="B393" s="10" t="n"/>
      <c r="C393" s="11" t="n"/>
      <c r="D393" s="11" t="n"/>
      <c r="E393" s="10" t="n"/>
      <c r="F393" s="10" t="n"/>
      <c r="G393" s="12" t="n"/>
      <c r="H393" s="13" t="n"/>
      <c r="I393" s="13" t="n"/>
      <c r="J393" s="13" t="n"/>
      <c r="K393" s="13" t="n"/>
      <c r="L393" s="13" t="n"/>
      <c r="M393" s="17">
        <f>IF(A393="","",IFERROR(VLOOKUP(A393,Raw_CurrentMonth!A:O,15,FALSE)=TRUE,FALSE))</f>
        <v/>
      </c>
      <c r="N393" s="16">
        <f>IF(A393="","",IF(M393=TRUE,IFERROR(H393,0)+IFERROR(I393,0)+IFERROR(J393,0)+IFERROR(K393,0)+IFERROR(L393,0),0))</f>
        <v/>
      </c>
      <c r="O393" s="16">
        <f>IF(A393="","",IF(M393=TRUE,IFERROR(H393,0),0))</f>
        <v/>
      </c>
      <c r="P393" s="16">
        <f>IF(A393="","",IF(M393=TRUE,IFERROR(I393,0),0))</f>
        <v/>
      </c>
      <c r="Q393" s="16">
        <f>IF(A393="","",IF(M393=TRUE,IFERROR(J393,0),0))</f>
        <v/>
      </c>
      <c r="R393" s="16">
        <f>IF(A393="","",IF(M393=TRUE,IFERROR(K393,0),0))</f>
        <v/>
      </c>
      <c r="S393" s="16">
        <f>IF(A393="","",IF(M393=TRUE,IFERROR(L393,0),0))</f>
        <v/>
      </c>
      <c r="T393" s="16">
        <f>IF(A393="","",IF(M393=TRUE,IFERROR(H393,0)+IFERROR(I393,0)+IFERROR(L393,0),0))</f>
        <v/>
      </c>
    </row>
    <row r="394">
      <c r="A394" s="10" t="n"/>
      <c r="B394" s="10" t="n"/>
      <c r="C394" s="11" t="n"/>
      <c r="D394" s="11" t="n"/>
      <c r="E394" s="10" t="n"/>
      <c r="F394" s="10" t="n"/>
      <c r="G394" s="12" t="n"/>
      <c r="H394" s="13" t="n"/>
      <c r="I394" s="13" t="n"/>
      <c r="J394" s="13" t="n"/>
      <c r="K394" s="13" t="n"/>
      <c r="L394" s="13" t="n"/>
      <c r="M394" s="17">
        <f>IF(A394="","",IFERROR(VLOOKUP(A394,Raw_CurrentMonth!A:O,15,FALSE)=TRUE,FALSE))</f>
        <v/>
      </c>
      <c r="N394" s="16">
        <f>IF(A394="","",IF(M394=TRUE,IFERROR(H394,0)+IFERROR(I394,0)+IFERROR(J394,0)+IFERROR(K394,0)+IFERROR(L394,0),0))</f>
        <v/>
      </c>
      <c r="O394" s="16">
        <f>IF(A394="","",IF(M394=TRUE,IFERROR(H394,0),0))</f>
        <v/>
      </c>
      <c r="P394" s="16">
        <f>IF(A394="","",IF(M394=TRUE,IFERROR(I394,0),0))</f>
        <v/>
      </c>
      <c r="Q394" s="16">
        <f>IF(A394="","",IF(M394=TRUE,IFERROR(J394,0),0))</f>
        <v/>
      </c>
      <c r="R394" s="16">
        <f>IF(A394="","",IF(M394=TRUE,IFERROR(K394,0),0))</f>
        <v/>
      </c>
      <c r="S394" s="16">
        <f>IF(A394="","",IF(M394=TRUE,IFERROR(L394,0),0))</f>
        <v/>
      </c>
      <c r="T394" s="16">
        <f>IF(A394="","",IF(M394=TRUE,IFERROR(H394,0)+IFERROR(I394,0)+IFERROR(L394,0),0))</f>
        <v/>
      </c>
    </row>
    <row r="395">
      <c r="A395" s="10" t="n"/>
      <c r="B395" s="10" t="n"/>
      <c r="C395" s="11" t="n"/>
      <c r="D395" s="11" t="n"/>
      <c r="E395" s="10" t="n"/>
      <c r="F395" s="10" t="n"/>
      <c r="G395" s="12" t="n"/>
      <c r="H395" s="13" t="n"/>
      <c r="I395" s="13" t="n"/>
      <c r="J395" s="13" t="n"/>
      <c r="K395" s="13" t="n"/>
      <c r="L395" s="13" t="n"/>
      <c r="M395" s="17">
        <f>IF(A395="","",IFERROR(VLOOKUP(A395,Raw_CurrentMonth!A:O,15,FALSE)=TRUE,FALSE))</f>
        <v/>
      </c>
      <c r="N395" s="16">
        <f>IF(A395="","",IF(M395=TRUE,IFERROR(H395,0)+IFERROR(I395,0)+IFERROR(J395,0)+IFERROR(K395,0)+IFERROR(L395,0),0))</f>
        <v/>
      </c>
      <c r="O395" s="16">
        <f>IF(A395="","",IF(M395=TRUE,IFERROR(H395,0),0))</f>
        <v/>
      </c>
      <c r="P395" s="16">
        <f>IF(A395="","",IF(M395=TRUE,IFERROR(I395,0),0))</f>
        <v/>
      </c>
      <c r="Q395" s="16">
        <f>IF(A395="","",IF(M395=TRUE,IFERROR(J395,0),0))</f>
        <v/>
      </c>
      <c r="R395" s="16">
        <f>IF(A395="","",IF(M395=TRUE,IFERROR(K395,0),0))</f>
        <v/>
      </c>
      <c r="S395" s="16">
        <f>IF(A395="","",IF(M395=TRUE,IFERROR(L395,0),0))</f>
        <v/>
      </c>
      <c r="T395" s="16">
        <f>IF(A395="","",IF(M395=TRUE,IFERROR(H395,0)+IFERROR(I395,0)+IFERROR(L395,0),0))</f>
        <v/>
      </c>
    </row>
    <row r="396">
      <c r="A396" s="10" t="n"/>
      <c r="B396" s="10" t="n"/>
      <c r="C396" s="11" t="n"/>
      <c r="D396" s="11" t="n"/>
      <c r="E396" s="10" t="n"/>
      <c r="F396" s="10" t="n"/>
      <c r="G396" s="12" t="n"/>
      <c r="H396" s="13" t="n"/>
      <c r="I396" s="13" t="n"/>
      <c r="J396" s="13" t="n"/>
      <c r="K396" s="13" t="n"/>
      <c r="L396" s="13" t="n"/>
      <c r="M396" s="17">
        <f>IF(A396="","",IFERROR(VLOOKUP(A396,Raw_CurrentMonth!A:O,15,FALSE)=TRUE,FALSE))</f>
        <v/>
      </c>
      <c r="N396" s="16">
        <f>IF(A396="","",IF(M396=TRUE,IFERROR(H396,0)+IFERROR(I396,0)+IFERROR(J396,0)+IFERROR(K396,0)+IFERROR(L396,0),0))</f>
        <v/>
      </c>
      <c r="O396" s="16">
        <f>IF(A396="","",IF(M396=TRUE,IFERROR(H396,0),0))</f>
        <v/>
      </c>
      <c r="P396" s="16">
        <f>IF(A396="","",IF(M396=TRUE,IFERROR(I396,0),0))</f>
        <v/>
      </c>
      <c r="Q396" s="16">
        <f>IF(A396="","",IF(M396=TRUE,IFERROR(J396,0),0))</f>
        <v/>
      </c>
      <c r="R396" s="16">
        <f>IF(A396="","",IF(M396=TRUE,IFERROR(K396,0),0))</f>
        <v/>
      </c>
      <c r="S396" s="16">
        <f>IF(A396="","",IF(M396=TRUE,IFERROR(L396,0),0))</f>
        <v/>
      </c>
      <c r="T396" s="16">
        <f>IF(A396="","",IF(M396=TRUE,IFERROR(H396,0)+IFERROR(I396,0)+IFERROR(L396,0),0))</f>
        <v/>
      </c>
    </row>
    <row r="397">
      <c r="A397" s="10" t="n"/>
      <c r="B397" s="10" t="n"/>
      <c r="C397" s="11" t="n"/>
      <c r="D397" s="11" t="n"/>
      <c r="E397" s="10" t="n"/>
      <c r="F397" s="10" t="n"/>
      <c r="G397" s="12" t="n"/>
      <c r="H397" s="13" t="n"/>
      <c r="I397" s="13" t="n"/>
      <c r="J397" s="13" t="n"/>
      <c r="K397" s="13" t="n"/>
      <c r="L397" s="13" t="n"/>
      <c r="M397" s="17">
        <f>IF(A397="","",IFERROR(VLOOKUP(A397,Raw_CurrentMonth!A:O,15,FALSE)=TRUE,FALSE))</f>
        <v/>
      </c>
      <c r="N397" s="16">
        <f>IF(A397="","",IF(M397=TRUE,IFERROR(H397,0)+IFERROR(I397,0)+IFERROR(J397,0)+IFERROR(K397,0)+IFERROR(L397,0),0))</f>
        <v/>
      </c>
      <c r="O397" s="16">
        <f>IF(A397="","",IF(M397=TRUE,IFERROR(H397,0),0))</f>
        <v/>
      </c>
      <c r="P397" s="16">
        <f>IF(A397="","",IF(M397=TRUE,IFERROR(I397,0),0))</f>
        <v/>
      </c>
      <c r="Q397" s="16">
        <f>IF(A397="","",IF(M397=TRUE,IFERROR(J397,0),0))</f>
        <v/>
      </c>
      <c r="R397" s="16">
        <f>IF(A397="","",IF(M397=TRUE,IFERROR(K397,0),0))</f>
        <v/>
      </c>
      <c r="S397" s="16">
        <f>IF(A397="","",IF(M397=TRUE,IFERROR(L397,0),0))</f>
        <v/>
      </c>
      <c r="T397" s="16">
        <f>IF(A397="","",IF(M397=TRUE,IFERROR(H397,0)+IFERROR(I397,0)+IFERROR(L397,0),0))</f>
        <v/>
      </c>
    </row>
    <row r="398">
      <c r="A398" s="10" t="n"/>
      <c r="B398" s="10" t="n"/>
      <c r="C398" s="11" t="n"/>
      <c r="D398" s="11" t="n"/>
      <c r="E398" s="10" t="n"/>
      <c r="F398" s="10" t="n"/>
      <c r="G398" s="12" t="n"/>
      <c r="H398" s="13" t="n"/>
      <c r="I398" s="13" t="n"/>
      <c r="J398" s="13" t="n"/>
      <c r="K398" s="13" t="n"/>
      <c r="L398" s="13" t="n"/>
      <c r="M398" s="17">
        <f>IF(A398="","",IFERROR(VLOOKUP(A398,Raw_CurrentMonth!A:O,15,FALSE)=TRUE,FALSE))</f>
        <v/>
      </c>
      <c r="N398" s="16">
        <f>IF(A398="","",IF(M398=TRUE,IFERROR(H398,0)+IFERROR(I398,0)+IFERROR(J398,0)+IFERROR(K398,0)+IFERROR(L398,0),0))</f>
        <v/>
      </c>
      <c r="O398" s="16">
        <f>IF(A398="","",IF(M398=TRUE,IFERROR(H398,0),0))</f>
        <v/>
      </c>
      <c r="P398" s="16">
        <f>IF(A398="","",IF(M398=TRUE,IFERROR(I398,0),0))</f>
        <v/>
      </c>
      <c r="Q398" s="16">
        <f>IF(A398="","",IF(M398=TRUE,IFERROR(J398,0),0))</f>
        <v/>
      </c>
      <c r="R398" s="16">
        <f>IF(A398="","",IF(M398=TRUE,IFERROR(K398,0),0))</f>
        <v/>
      </c>
      <c r="S398" s="16">
        <f>IF(A398="","",IF(M398=TRUE,IFERROR(L398,0),0))</f>
        <v/>
      </c>
      <c r="T398" s="16">
        <f>IF(A398="","",IF(M398=TRUE,IFERROR(H398,0)+IFERROR(I398,0)+IFERROR(L398,0),0))</f>
        <v/>
      </c>
    </row>
    <row r="399">
      <c r="A399" s="10" t="n"/>
      <c r="B399" s="10" t="n"/>
      <c r="C399" s="11" t="n"/>
      <c r="D399" s="11" t="n"/>
      <c r="E399" s="10" t="n"/>
      <c r="F399" s="10" t="n"/>
      <c r="G399" s="12" t="n"/>
      <c r="H399" s="13" t="n"/>
      <c r="I399" s="13" t="n"/>
      <c r="J399" s="13" t="n"/>
      <c r="K399" s="13" t="n"/>
      <c r="L399" s="13" t="n"/>
      <c r="M399" s="17">
        <f>IF(A399="","",IFERROR(VLOOKUP(A399,Raw_CurrentMonth!A:O,15,FALSE)=TRUE,FALSE))</f>
        <v/>
      </c>
      <c r="N399" s="16">
        <f>IF(A399="","",IF(M399=TRUE,IFERROR(H399,0)+IFERROR(I399,0)+IFERROR(J399,0)+IFERROR(K399,0)+IFERROR(L399,0),0))</f>
        <v/>
      </c>
      <c r="O399" s="16">
        <f>IF(A399="","",IF(M399=TRUE,IFERROR(H399,0),0))</f>
        <v/>
      </c>
      <c r="P399" s="16">
        <f>IF(A399="","",IF(M399=TRUE,IFERROR(I399,0),0))</f>
        <v/>
      </c>
      <c r="Q399" s="16">
        <f>IF(A399="","",IF(M399=TRUE,IFERROR(J399,0),0))</f>
        <v/>
      </c>
      <c r="R399" s="16">
        <f>IF(A399="","",IF(M399=TRUE,IFERROR(K399,0),0))</f>
        <v/>
      </c>
      <c r="S399" s="16">
        <f>IF(A399="","",IF(M399=TRUE,IFERROR(L399,0),0))</f>
        <v/>
      </c>
      <c r="T399" s="16">
        <f>IF(A399="","",IF(M399=TRUE,IFERROR(H399,0)+IFERROR(I399,0)+IFERROR(L399,0),0))</f>
        <v/>
      </c>
    </row>
    <row r="400">
      <c r="A400" s="10" t="n"/>
      <c r="B400" s="10" t="n"/>
      <c r="C400" s="11" t="n"/>
      <c r="D400" s="11" t="n"/>
      <c r="E400" s="10" t="n"/>
      <c r="F400" s="10" t="n"/>
      <c r="G400" s="12" t="n"/>
      <c r="H400" s="13" t="n"/>
      <c r="I400" s="13" t="n"/>
      <c r="J400" s="13" t="n"/>
      <c r="K400" s="13" t="n"/>
      <c r="L400" s="13" t="n"/>
      <c r="M400" s="17">
        <f>IF(A400="","",IFERROR(VLOOKUP(A400,Raw_CurrentMonth!A:O,15,FALSE)=TRUE,FALSE))</f>
        <v/>
      </c>
      <c r="N400" s="16">
        <f>IF(A400="","",IF(M400=TRUE,IFERROR(H400,0)+IFERROR(I400,0)+IFERROR(J400,0)+IFERROR(K400,0)+IFERROR(L400,0),0))</f>
        <v/>
      </c>
      <c r="O400" s="16">
        <f>IF(A400="","",IF(M400=TRUE,IFERROR(H400,0),0))</f>
        <v/>
      </c>
      <c r="P400" s="16">
        <f>IF(A400="","",IF(M400=TRUE,IFERROR(I400,0),0))</f>
        <v/>
      </c>
      <c r="Q400" s="16">
        <f>IF(A400="","",IF(M400=TRUE,IFERROR(J400,0),0))</f>
        <v/>
      </c>
      <c r="R400" s="16">
        <f>IF(A400="","",IF(M400=TRUE,IFERROR(K400,0),0))</f>
        <v/>
      </c>
      <c r="S400" s="16">
        <f>IF(A400="","",IF(M400=TRUE,IFERROR(L400,0),0))</f>
        <v/>
      </c>
      <c r="T400" s="16">
        <f>IF(A400="","",IF(M400=TRUE,IFERROR(H400,0)+IFERROR(I400,0)+IFERROR(L400,0),0))</f>
        <v/>
      </c>
    </row>
    <row r="401">
      <c r="A401" s="10" t="n"/>
      <c r="B401" s="10" t="n"/>
      <c r="C401" s="11" t="n"/>
      <c r="D401" s="11" t="n"/>
      <c r="E401" s="10" t="n"/>
      <c r="F401" s="10" t="n"/>
      <c r="G401" s="12" t="n"/>
      <c r="H401" s="13" t="n"/>
      <c r="I401" s="13" t="n"/>
      <c r="J401" s="13" t="n"/>
      <c r="K401" s="13" t="n"/>
      <c r="L401" s="13" t="n"/>
      <c r="M401" s="17">
        <f>IF(A401="","",IFERROR(VLOOKUP(A401,Raw_CurrentMonth!A:O,15,FALSE)=TRUE,FALSE))</f>
        <v/>
      </c>
      <c r="N401" s="16">
        <f>IF(A401="","",IF(M401=TRUE,IFERROR(H401,0)+IFERROR(I401,0)+IFERROR(J401,0)+IFERROR(K401,0)+IFERROR(L401,0),0))</f>
        <v/>
      </c>
      <c r="O401" s="16">
        <f>IF(A401="","",IF(M401=TRUE,IFERROR(H401,0),0))</f>
        <v/>
      </c>
      <c r="P401" s="16">
        <f>IF(A401="","",IF(M401=TRUE,IFERROR(I401,0),0))</f>
        <v/>
      </c>
      <c r="Q401" s="16">
        <f>IF(A401="","",IF(M401=TRUE,IFERROR(J401,0),0))</f>
        <v/>
      </c>
      <c r="R401" s="16">
        <f>IF(A401="","",IF(M401=TRUE,IFERROR(K401,0),0))</f>
        <v/>
      </c>
      <c r="S401" s="16">
        <f>IF(A401="","",IF(M401=TRUE,IFERROR(L401,0),0))</f>
        <v/>
      </c>
      <c r="T401" s="16">
        <f>IF(A401="","",IF(M401=TRUE,IFERROR(H401,0)+IFERROR(I401,0)+IFERROR(L401,0),0))</f>
        <v/>
      </c>
    </row>
    <row r="402">
      <c r="A402" s="10" t="n"/>
      <c r="B402" s="10" t="n"/>
      <c r="C402" s="11" t="n"/>
      <c r="D402" s="11" t="n"/>
      <c r="E402" s="10" t="n"/>
      <c r="F402" s="10" t="n"/>
      <c r="G402" s="12" t="n"/>
      <c r="H402" s="13" t="n"/>
      <c r="I402" s="13" t="n"/>
      <c r="J402" s="13" t="n"/>
      <c r="K402" s="13" t="n"/>
      <c r="L402" s="13" t="n"/>
      <c r="M402" s="17">
        <f>IF(A402="","",IFERROR(VLOOKUP(A402,Raw_CurrentMonth!A:O,15,FALSE)=TRUE,FALSE))</f>
        <v/>
      </c>
      <c r="N402" s="16">
        <f>IF(A402="","",IF(M402=TRUE,IFERROR(H402,0)+IFERROR(I402,0)+IFERROR(J402,0)+IFERROR(K402,0)+IFERROR(L402,0),0))</f>
        <v/>
      </c>
      <c r="O402" s="16">
        <f>IF(A402="","",IF(M402=TRUE,IFERROR(H402,0),0))</f>
        <v/>
      </c>
      <c r="P402" s="16">
        <f>IF(A402="","",IF(M402=TRUE,IFERROR(I402,0),0))</f>
        <v/>
      </c>
      <c r="Q402" s="16">
        <f>IF(A402="","",IF(M402=TRUE,IFERROR(J402,0),0))</f>
        <v/>
      </c>
      <c r="R402" s="16">
        <f>IF(A402="","",IF(M402=TRUE,IFERROR(K402,0),0))</f>
        <v/>
      </c>
      <c r="S402" s="16">
        <f>IF(A402="","",IF(M402=TRUE,IFERROR(L402,0),0))</f>
        <v/>
      </c>
      <c r="T402" s="16">
        <f>IF(A402="","",IF(M402=TRUE,IFERROR(H402,0)+IFERROR(I402,0)+IFERROR(L402,0),0))</f>
        <v/>
      </c>
    </row>
    <row r="403">
      <c r="A403" s="10" t="n"/>
      <c r="B403" s="10" t="n"/>
      <c r="C403" s="11" t="n"/>
      <c r="D403" s="11" t="n"/>
      <c r="E403" s="10" t="n"/>
      <c r="F403" s="10" t="n"/>
      <c r="G403" s="12" t="n"/>
      <c r="H403" s="13" t="n"/>
      <c r="I403" s="13" t="n"/>
      <c r="J403" s="13" t="n"/>
      <c r="K403" s="13" t="n"/>
      <c r="L403" s="13" t="n"/>
      <c r="M403" s="17">
        <f>IF(A403="","",IFERROR(VLOOKUP(A403,Raw_CurrentMonth!A:O,15,FALSE)=TRUE,FALSE))</f>
        <v/>
      </c>
      <c r="N403" s="16">
        <f>IF(A403="","",IF(M403=TRUE,IFERROR(H403,0)+IFERROR(I403,0)+IFERROR(J403,0)+IFERROR(K403,0)+IFERROR(L403,0),0))</f>
        <v/>
      </c>
      <c r="O403" s="16">
        <f>IF(A403="","",IF(M403=TRUE,IFERROR(H403,0),0))</f>
        <v/>
      </c>
      <c r="P403" s="16">
        <f>IF(A403="","",IF(M403=TRUE,IFERROR(I403,0),0))</f>
        <v/>
      </c>
      <c r="Q403" s="16">
        <f>IF(A403="","",IF(M403=TRUE,IFERROR(J403,0),0))</f>
        <v/>
      </c>
      <c r="R403" s="16">
        <f>IF(A403="","",IF(M403=TRUE,IFERROR(K403,0),0))</f>
        <v/>
      </c>
      <c r="S403" s="16">
        <f>IF(A403="","",IF(M403=TRUE,IFERROR(L403,0),0))</f>
        <v/>
      </c>
      <c r="T403" s="16">
        <f>IF(A403="","",IF(M403=TRUE,IFERROR(H403,0)+IFERROR(I403,0)+IFERROR(L403,0),0))</f>
        <v/>
      </c>
    </row>
    <row r="404">
      <c r="A404" s="10" t="n"/>
      <c r="B404" s="10" t="n"/>
      <c r="C404" s="11" t="n"/>
      <c r="D404" s="11" t="n"/>
      <c r="E404" s="10" t="n"/>
      <c r="F404" s="10" t="n"/>
      <c r="G404" s="12" t="n"/>
      <c r="H404" s="13" t="n"/>
      <c r="I404" s="13" t="n"/>
      <c r="J404" s="13" t="n"/>
      <c r="K404" s="13" t="n"/>
      <c r="L404" s="13" t="n"/>
      <c r="M404" s="17">
        <f>IF(A404="","",IFERROR(VLOOKUP(A404,Raw_CurrentMonth!A:O,15,FALSE)=TRUE,FALSE))</f>
        <v/>
      </c>
      <c r="N404" s="16">
        <f>IF(A404="","",IF(M404=TRUE,IFERROR(H404,0)+IFERROR(I404,0)+IFERROR(J404,0)+IFERROR(K404,0)+IFERROR(L404,0),0))</f>
        <v/>
      </c>
      <c r="O404" s="16">
        <f>IF(A404="","",IF(M404=TRUE,IFERROR(H404,0),0))</f>
        <v/>
      </c>
      <c r="P404" s="16">
        <f>IF(A404="","",IF(M404=TRUE,IFERROR(I404,0),0))</f>
        <v/>
      </c>
      <c r="Q404" s="16">
        <f>IF(A404="","",IF(M404=TRUE,IFERROR(J404,0),0))</f>
        <v/>
      </c>
      <c r="R404" s="16">
        <f>IF(A404="","",IF(M404=TRUE,IFERROR(K404,0),0))</f>
        <v/>
      </c>
      <c r="S404" s="16">
        <f>IF(A404="","",IF(M404=TRUE,IFERROR(L404,0),0))</f>
        <v/>
      </c>
      <c r="T404" s="16">
        <f>IF(A404="","",IF(M404=TRUE,IFERROR(H404,0)+IFERROR(I404,0)+IFERROR(L404,0),0))</f>
        <v/>
      </c>
    </row>
    <row r="405">
      <c r="A405" s="10" t="n"/>
      <c r="B405" s="10" t="n"/>
      <c r="C405" s="11" t="n"/>
      <c r="D405" s="11" t="n"/>
      <c r="E405" s="10" t="n"/>
      <c r="F405" s="10" t="n"/>
      <c r="G405" s="12" t="n"/>
      <c r="H405" s="13" t="n"/>
      <c r="I405" s="13" t="n"/>
      <c r="J405" s="13" t="n"/>
      <c r="K405" s="13" t="n"/>
      <c r="L405" s="13" t="n"/>
      <c r="M405" s="17">
        <f>IF(A405="","",IFERROR(VLOOKUP(A405,Raw_CurrentMonth!A:O,15,FALSE)=TRUE,FALSE))</f>
        <v/>
      </c>
      <c r="N405" s="16">
        <f>IF(A405="","",IF(M405=TRUE,IFERROR(H405,0)+IFERROR(I405,0)+IFERROR(J405,0)+IFERROR(K405,0)+IFERROR(L405,0),0))</f>
        <v/>
      </c>
      <c r="O405" s="16">
        <f>IF(A405="","",IF(M405=TRUE,IFERROR(H405,0),0))</f>
        <v/>
      </c>
      <c r="P405" s="16">
        <f>IF(A405="","",IF(M405=TRUE,IFERROR(I405,0),0))</f>
        <v/>
      </c>
      <c r="Q405" s="16">
        <f>IF(A405="","",IF(M405=TRUE,IFERROR(J405,0),0))</f>
        <v/>
      </c>
      <c r="R405" s="16">
        <f>IF(A405="","",IF(M405=TRUE,IFERROR(K405,0),0))</f>
        <v/>
      </c>
      <c r="S405" s="16">
        <f>IF(A405="","",IF(M405=TRUE,IFERROR(L405,0),0))</f>
        <v/>
      </c>
      <c r="T405" s="16">
        <f>IF(A405="","",IF(M405=TRUE,IFERROR(H405,0)+IFERROR(I405,0)+IFERROR(L405,0),0))</f>
        <v/>
      </c>
    </row>
    <row r="406">
      <c r="A406" s="10" t="n"/>
      <c r="B406" s="10" t="n"/>
      <c r="C406" s="11" t="n"/>
      <c r="D406" s="11" t="n"/>
      <c r="E406" s="10" t="n"/>
      <c r="F406" s="10" t="n"/>
      <c r="G406" s="12" t="n"/>
      <c r="H406" s="13" t="n"/>
      <c r="I406" s="13" t="n"/>
      <c r="J406" s="13" t="n"/>
      <c r="K406" s="13" t="n"/>
      <c r="L406" s="13" t="n"/>
      <c r="M406" s="17">
        <f>IF(A406="","",IFERROR(VLOOKUP(A406,Raw_CurrentMonth!A:O,15,FALSE)=TRUE,FALSE))</f>
        <v/>
      </c>
      <c r="N406" s="16">
        <f>IF(A406="","",IF(M406=TRUE,IFERROR(H406,0)+IFERROR(I406,0)+IFERROR(J406,0)+IFERROR(K406,0)+IFERROR(L406,0),0))</f>
        <v/>
      </c>
      <c r="O406" s="16">
        <f>IF(A406="","",IF(M406=TRUE,IFERROR(H406,0),0))</f>
        <v/>
      </c>
      <c r="P406" s="16">
        <f>IF(A406="","",IF(M406=TRUE,IFERROR(I406,0),0))</f>
        <v/>
      </c>
      <c r="Q406" s="16">
        <f>IF(A406="","",IF(M406=TRUE,IFERROR(J406,0),0))</f>
        <v/>
      </c>
      <c r="R406" s="16">
        <f>IF(A406="","",IF(M406=TRUE,IFERROR(K406,0),0))</f>
        <v/>
      </c>
      <c r="S406" s="16">
        <f>IF(A406="","",IF(M406=TRUE,IFERROR(L406,0),0))</f>
        <v/>
      </c>
      <c r="T406" s="16">
        <f>IF(A406="","",IF(M406=TRUE,IFERROR(H406,0)+IFERROR(I406,0)+IFERROR(L406,0),0))</f>
        <v/>
      </c>
    </row>
    <row r="407">
      <c r="A407" s="10" t="n"/>
      <c r="B407" s="10" t="n"/>
      <c r="C407" s="11" t="n"/>
      <c r="D407" s="11" t="n"/>
      <c r="E407" s="10" t="n"/>
      <c r="F407" s="10" t="n"/>
      <c r="G407" s="12" t="n"/>
      <c r="H407" s="13" t="n"/>
      <c r="I407" s="13" t="n"/>
      <c r="J407" s="13" t="n"/>
      <c r="K407" s="13" t="n"/>
      <c r="L407" s="13" t="n"/>
      <c r="M407" s="17">
        <f>IF(A407="","",IFERROR(VLOOKUP(A407,Raw_CurrentMonth!A:O,15,FALSE)=TRUE,FALSE))</f>
        <v/>
      </c>
      <c r="N407" s="16">
        <f>IF(A407="","",IF(M407=TRUE,IFERROR(H407,0)+IFERROR(I407,0)+IFERROR(J407,0)+IFERROR(K407,0)+IFERROR(L407,0),0))</f>
        <v/>
      </c>
      <c r="O407" s="16">
        <f>IF(A407="","",IF(M407=TRUE,IFERROR(H407,0),0))</f>
        <v/>
      </c>
      <c r="P407" s="16">
        <f>IF(A407="","",IF(M407=TRUE,IFERROR(I407,0),0))</f>
        <v/>
      </c>
      <c r="Q407" s="16">
        <f>IF(A407="","",IF(M407=TRUE,IFERROR(J407,0),0))</f>
        <v/>
      </c>
      <c r="R407" s="16">
        <f>IF(A407="","",IF(M407=TRUE,IFERROR(K407,0),0))</f>
        <v/>
      </c>
      <c r="S407" s="16">
        <f>IF(A407="","",IF(M407=TRUE,IFERROR(L407,0),0))</f>
        <v/>
      </c>
      <c r="T407" s="16">
        <f>IF(A407="","",IF(M407=TRUE,IFERROR(H407,0)+IFERROR(I407,0)+IFERROR(L407,0),0))</f>
        <v/>
      </c>
    </row>
    <row r="408">
      <c r="A408" s="10" t="n"/>
      <c r="B408" s="10" t="n"/>
      <c r="C408" s="11" t="n"/>
      <c r="D408" s="11" t="n"/>
      <c r="E408" s="10" t="n"/>
      <c r="F408" s="10" t="n"/>
      <c r="G408" s="12" t="n"/>
      <c r="H408" s="13" t="n"/>
      <c r="I408" s="13" t="n"/>
      <c r="J408" s="13" t="n"/>
      <c r="K408" s="13" t="n"/>
      <c r="L408" s="13" t="n"/>
      <c r="M408" s="17">
        <f>IF(A408="","",IFERROR(VLOOKUP(A408,Raw_CurrentMonth!A:O,15,FALSE)=TRUE,FALSE))</f>
        <v/>
      </c>
      <c r="N408" s="16">
        <f>IF(A408="","",IF(M408=TRUE,IFERROR(H408,0)+IFERROR(I408,0)+IFERROR(J408,0)+IFERROR(K408,0)+IFERROR(L408,0),0))</f>
        <v/>
      </c>
      <c r="O408" s="16">
        <f>IF(A408="","",IF(M408=TRUE,IFERROR(H408,0),0))</f>
        <v/>
      </c>
      <c r="P408" s="16">
        <f>IF(A408="","",IF(M408=TRUE,IFERROR(I408,0),0))</f>
        <v/>
      </c>
      <c r="Q408" s="16">
        <f>IF(A408="","",IF(M408=TRUE,IFERROR(J408,0),0))</f>
        <v/>
      </c>
      <c r="R408" s="16">
        <f>IF(A408="","",IF(M408=TRUE,IFERROR(K408,0),0))</f>
        <v/>
      </c>
      <c r="S408" s="16">
        <f>IF(A408="","",IF(M408=TRUE,IFERROR(L408,0),0))</f>
        <v/>
      </c>
      <c r="T408" s="16">
        <f>IF(A408="","",IF(M408=TRUE,IFERROR(H408,0)+IFERROR(I408,0)+IFERROR(L408,0),0))</f>
        <v/>
      </c>
    </row>
    <row r="409">
      <c r="A409" s="10" t="n"/>
      <c r="B409" s="10" t="n"/>
      <c r="C409" s="11" t="n"/>
      <c r="D409" s="11" t="n"/>
      <c r="E409" s="10" t="n"/>
      <c r="F409" s="10" t="n"/>
      <c r="G409" s="12" t="n"/>
      <c r="H409" s="13" t="n"/>
      <c r="I409" s="13" t="n"/>
      <c r="J409" s="13" t="n"/>
      <c r="K409" s="13" t="n"/>
      <c r="L409" s="13" t="n"/>
      <c r="M409" s="17">
        <f>IF(A409="","",IFERROR(VLOOKUP(A409,Raw_CurrentMonth!A:O,15,FALSE)=TRUE,FALSE))</f>
        <v/>
      </c>
      <c r="N409" s="16">
        <f>IF(A409="","",IF(M409=TRUE,IFERROR(H409,0)+IFERROR(I409,0)+IFERROR(J409,0)+IFERROR(K409,0)+IFERROR(L409,0),0))</f>
        <v/>
      </c>
      <c r="O409" s="16">
        <f>IF(A409="","",IF(M409=TRUE,IFERROR(H409,0),0))</f>
        <v/>
      </c>
      <c r="P409" s="16">
        <f>IF(A409="","",IF(M409=TRUE,IFERROR(I409,0),0))</f>
        <v/>
      </c>
      <c r="Q409" s="16">
        <f>IF(A409="","",IF(M409=TRUE,IFERROR(J409,0),0))</f>
        <v/>
      </c>
      <c r="R409" s="16">
        <f>IF(A409="","",IF(M409=TRUE,IFERROR(K409,0),0))</f>
        <v/>
      </c>
      <c r="S409" s="16">
        <f>IF(A409="","",IF(M409=TRUE,IFERROR(L409,0),0))</f>
        <v/>
      </c>
      <c r="T409" s="16">
        <f>IF(A409="","",IF(M409=TRUE,IFERROR(H409,0)+IFERROR(I409,0)+IFERROR(L409,0),0))</f>
        <v/>
      </c>
    </row>
    <row r="410">
      <c r="A410" s="10" t="n"/>
      <c r="B410" s="10" t="n"/>
      <c r="C410" s="11" t="n"/>
      <c r="D410" s="11" t="n"/>
      <c r="E410" s="10" t="n"/>
      <c r="F410" s="10" t="n"/>
      <c r="G410" s="12" t="n"/>
      <c r="H410" s="13" t="n"/>
      <c r="I410" s="13" t="n"/>
      <c r="J410" s="13" t="n"/>
      <c r="K410" s="13" t="n"/>
      <c r="L410" s="13" t="n"/>
      <c r="M410" s="17">
        <f>IF(A410="","",IFERROR(VLOOKUP(A410,Raw_CurrentMonth!A:O,15,FALSE)=TRUE,FALSE))</f>
        <v/>
      </c>
      <c r="N410" s="16">
        <f>IF(A410="","",IF(M410=TRUE,IFERROR(H410,0)+IFERROR(I410,0)+IFERROR(J410,0)+IFERROR(K410,0)+IFERROR(L410,0),0))</f>
        <v/>
      </c>
      <c r="O410" s="16">
        <f>IF(A410="","",IF(M410=TRUE,IFERROR(H410,0),0))</f>
        <v/>
      </c>
      <c r="P410" s="16">
        <f>IF(A410="","",IF(M410=TRUE,IFERROR(I410,0),0))</f>
        <v/>
      </c>
      <c r="Q410" s="16">
        <f>IF(A410="","",IF(M410=TRUE,IFERROR(J410,0),0))</f>
        <v/>
      </c>
      <c r="R410" s="16">
        <f>IF(A410="","",IF(M410=TRUE,IFERROR(K410,0),0))</f>
        <v/>
      </c>
      <c r="S410" s="16">
        <f>IF(A410="","",IF(M410=TRUE,IFERROR(L410,0),0))</f>
        <v/>
      </c>
      <c r="T410" s="16">
        <f>IF(A410="","",IF(M410=TRUE,IFERROR(H410,0)+IFERROR(I410,0)+IFERROR(L410,0),0))</f>
        <v/>
      </c>
    </row>
    <row r="411">
      <c r="A411" s="10" t="n"/>
      <c r="B411" s="10" t="n"/>
      <c r="C411" s="11" t="n"/>
      <c r="D411" s="11" t="n"/>
      <c r="E411" s="10" t="n"/>
      <c r="F411" s="10" t="n"/>
      <c r="G411" s="12" t="n"/>
      <c r="H411" s="13" t="n"/>
      <c r="I411" s="13" t="n"/>
      <c r="J411" s="13" t="n"/>
      <c r="K411" s="13" t="n"/>
      <c r="L411" s="13" t="n"/>
      <c r="M411" s="17">
        <f>IF(A411="","",IFERROR(VLOOKUP(A411,Raw_CurrentMonth!A:O,15,FALSE)=TRUE,FALSE))</f>
        <v/>
      </c>
      <c r="N411" s="16">
        <f>IF(A411="","",IF(M411=TRUE,IFERROR(H411,0)+IFERROR(I411,0)+IFERROR(J411,0)+IFERROR(K411,0)+IFERROR(L411,0),0))</f>
        <v/>
      </c>
      <c r="O411" s="16">
        <f>IF(A411="","",IF(M411=TRUE,IFERROR(H411,0),0))</f>
        <v/>
      </c>
      <c r="P411" s="16">
        <f>IF(A411="","",IF(M411=TRUE,IFERROR(I411,0),0))</f>
        <v/>
      </c>
      <c r="Q411" s="16">
        <f>IF(A411="","",IF(M411=TRUE,IFERROR(J411,0),0))</f>
        <v/>
      </c>
      <c r="R411" s="16">
        <f>IF(A411="","",IF(M411=TRUE,IFERROR(K411,0),0))</f>
        <v/>
      </c>
      <c r="S411" s="16">
        <f>IF(A411="","",IF(M411=TRUE,IFERROR(L411,0),0))</f>
        <v/>
      </c>
      <c r="T411" s="16">
        <f>IF(A411="","",IF(M411=TRUE,IFERROR(H411,0)+IFERROR(I411,0)+IFERROR(L411,0),0))</f>
        <v/>
      </c>
    </row>
    <row r="412">
      <c r="A412" s="10" t="n"/>
      <c r="B412" s="10" t="n"/>
      <c r="C412" s="11" t="n"/>
      <c r="D412" s="11" t="n"/>
      <c r="E412" s="10" t="n"/>
      <c r="F412" s="10" t="n"/>
      <c r="G412" s="12" t="n"/>
      <c r="H412" s="13" t="n"/>
      <c r="I412" s="13" t="n"/>
      <c r="J412" s="13" t="n"/>
      <c r="K412" s="13" t="n"/>
      <c r="L412" s="13" t="n"/>
      <c r="M412" s="17">
        <f>IF(A412="","",IFERROR(VLOOKUP(A412,Raw_CurrentMonth!A:O,15,FALSE)=TRUE,FALSE))</f>
        <v/>
      </c>
      <c r="N412" s="16">
        <f>IF(A412="","",IF(M412=TRUE,IFERROR(H412,0)+IFERROR(I412,0)+IFERROR(J412,0)+IFERROR(K412,0)+IFERROR(L412,0),0))</f>
        <v/>
      </c>
      <c r="O412" s="16">
        <f>IF(A412="","",IF(M412=TRUE,IFERROR(H412,0),0))</f>
        <v/>
      </c>
      <c r="P412" s="16">
        <f>IF(A412="","",IF(M412=TRUE,IFERROR(I412,0),0))</f>
        <v/>
      </c>
      <c r="Q412" s="16">
        <f>IF(A412="","",IF(M412=TRUE,IFERROR(J412,0),0))</f>
        <v/>
      </c>
      <c r="R412" s="16">
        <f>IF(A412="","",IF(M412=TRUE,IFERROR(K412,0),0))</f>
        <v/>
      </c>
      <c r="S412" s="16">
        <f>IF(A412="","",IF(M412=TRUE,IFERROR(L412,0),0))</f>
        <v/>
      </c>
      <c r="T412" s="16">
        <f>IF(A412="","",IF(M412=TRUE,IFERROR(H412,0)+IFERROR(I412,0)+IFERROR(L412,0),0))</f>
        <v/>
      </c>
    </row>
    <row r="413">
      <c r="A413" s="10" t="n"/>
      <c r="B413" s="10" t="n"/>
      <c r="C413" s="11" t="n"/>
      <c r="D413" s="11" t="n"/>
      <c r="E413" s="10" t="n"/>
      <c r="F413" s="10" t="n"/>
      <c r="G413" s="12" t="n"/>
      <c r="H413" s="13" t="n"/>
      <c r="I413" s="13" t="n"/>
      <c r="J413" s="13" t="n"/>
      <c r="K413" s="13" t="n"/>
      <c r="L413" s="13" t="n"/>
      <c r="M413" s="17">
        <f>IF(A413="","",IFERROR(VLOOKUP(A413,Raw_CurrentMonth!A:O,15,FALSE)=TRUE,FALSE))</f>
        <v/>
      </c>
      <c r="N413" s="16">
        <f>IF(A413="","",IF(M413=TRUE,IFERROR(H413,0)+IFERROR(I413,0)+IFERROR(J413,0)+IFERROR(K413,0)+IFERROR(L413,0),0))</f>
        <v/>
      </c>
      <c r="O413" s="16">
        <f>IF(A413="","",IF(M413=TRUE,IFERROR(H413,0),0))</f>
        <v/>
      </c>
      <c r="P413" s="16">
        <f>IF(A413="","",IF(M413=TRUE,IFERROR(I413,0),0))</f>
        <v/>
      </c>
      <c r="Q413" s="16">
        <f>IF(A413="","",IF(M413=TRUE,IFERROR(J413,0),0))</f>
        <v/>
      </c>
      <c r="R413" s="16">
        <f>IF(A413="","",IF(M413=TRUE,IFERROR(K413,0),0))</f>
        <v/>
      </c>
      <c r="S413" s="16">
        <f>IF(A413="","",IF(M413=TRUE,IFERROR(L413,0),0))</f>
        <v/>
      </c>
      <c r="T413" s="16">
        <f>IF(A413="","",IF(M413=TRUE,IFERROR(H413,0)+IFERROR(I413,0)+IFERROR(L413,0),0))</f>
        <v/>
      </c>
    </row>
    <row r="414">
      <c r="A414" s="10" t="n"/>
      <c r="B414" s="10" t="n"/>
      <c r="C414" s="11" t="n"/>
      <c r="D414" s="11" t="n"/>
      <c r="E414" s="10" t="n"/>
      <c r="F414" s="10" t="n"/>
      <c r="G414" s="12" t="n"/>
      <c r="H414" s="13" t="n"/>
      <c r="I414" s="13" t="n"/>
      <c r="J414" s="13" t="n"/>
      <c r="K414" s="13" t="n"/>
      <c r="L414" s="13" t="n"/>
      <c r="M414" s="17">
        <f>IF(A414="","",IFERROR(VLOOKUP(A414,Raw_CurrentMonth!A:O,15,FALSE)=TRUE,FALSE))</f>
        <v/>
      </c>
      <c r="N414" s="16">
        <f>IF(A414="","",IF(M414=TRUE,IFERROR(H414,0)+IFERROR(I414,0)+IFERROR(J414,0)+IFERROR(K414,0)+IFERROR(L414,0),0))</f>
        <v/>
      </c>
      <c r="O414" s="16">
        <f>IF(A414="","",IF(M414=TRUE,IFERROR(H414,0),0))</f>
        <v/>
      </c>
      <c r="P414" s="16">
        <f>IF(A414="","",IF(M414=TRUE,IFERROR(I414,0),0))</f>
        <v/>
      </c>
      <c r="Q414" s="16">
        <f>IF(A414="","",IF(M414=TRUE,IFERROR(J414,0),0))</f>
        <v/>
      </c>
      <c r="R414" s="16">
        <f>IF(A414="","",IF(M414=TRUE,IFERROR(K414,0),0))</f>
        <v/>
      </c>
      <c r="S414" s="16">
        <f>IF(A414="","",IF(M414=TRUE,IFERROR(L414,0),0))</f>
        <v/>
      </c>
      <c r="T414" s="16">
        <f>IF(A414="","",IF(M414=TRUE,IFERROR(H414,0)+IFERROR(I414,0)+IFERROR(L414,0),0))</f>
        <v/>
      </c>
    </row>
    <row r="415">
      <c r="A415" s="10" t="n"/>
      <c r="B415" s="10" t="n"/>
      <c r="C415" s="11" t="n"/>
      <c r="D415" s="11" t="n"/>
      <c r="E415" s="10" t="n"/>
      <c r="F415" s="10" t="n"/>
      <c r="G415" s="12" t="n"/>
      <c r="H415" s="13" t="n"/>
      <c r="I415" s="13" t="n"/>
      <c r="J415" s="13" t="n"/>
      <c r="K415" s="13" t="n"/>
      <c r="L415" s="13" t="n"/>
      <c r="M415" s="17">
        <f>IF(A415="","",IFERROR(VLOOKUP(A415,Raw_CurrentMonth!A:O,15,FALSE)=TRUE,FALSE))</f>
        <v/>
      </c>
      <c r="N415" s="16">
        <f>IF(A415="","",IF(M415=TRUE,IFERROR(H415,0)+IFERROR(I415,0)+IFERROR(J415,0)+IFERROR(K415,0)+IFERROR(L415,0),0))</f>
        <v/>
      </c>
      <c r="O415" s="16">
        <f>IF(A415="","",IF(M415=TRUE,IFERROR(H415,0),0))</f>
        <v/>
      </c>
      <c r="P415" s="16">
        <f>IF(A415="","",IF(M415=TRUE,IFERROR(I415,0),0))</f>
        <v/>
      </c>
      <c r="Q415" s="16">
        <f>IF(A415="","",IF(M415=TRUE,IFERROR(J415,0),0))</f>
        <v/>
      </c>
      <c r="R415" s="16">
        <f>IF(A415="","",IF(M415=TRUE,IFERROR(K415,0),0))</f>
        <v/>
      </c>
      <c r="S415" s="16">
        <f>IF(A415="","",IF(M415=TRUE,IFERROR(L415,0),0))</f>
        <v/>
      </c>
      <c r="T415" s="16">
        <f>IF(A415="","",IF(M415=TRUE,IFERROR(H415,0)+IFERROR(I415,0)+IFERROR(L415,0),0))</f>
        <v/>
      </c>
    </row>
    <row r="416">
      <c r="A416" s="10" t="n"/>
      <c r="B416" s="10" t="n"/>
      <c r="C416" s="11" t="n"/>
      <c r="D416" s="11" t="n"/>
      <c r="E416" s="10" t="n"/>
      <c r="F416" s="10" t="n"/>
      <c r="G416" s="12" t="n"/>
      <c r="H416" s="13" t="n"/>
      <c r="I416" s="13" t="n"/>
      <c r="J416" s="13" t="n"/>
      <c r="K416" s="13" t="n"/>
      <c r="L416" s="13" t="n"/>
      <c r="M416" s="17">
        <f>IF(A416="","",IFERROR(VLOOKUP(A416,Raw_CurrentMonth!A:O,15,FALSE)=TRUE,FALSE))</f>
        <v/>
      </c>
      <c r="N416" s="16">
        <f>IF(A416="","",IF(M416=TRUE,IFERROR(H416,0)+IFERROR(I416,0)+IFERROR(J416,0)+IFERROR(K416,0)+IFERROR(L416,0),0))</f>
        <v/>
      </c>
      <c r="O416" s="16">
        <f>IF(A416="","",IF(M416=TRUE,IFERROR(H416,0),0))</f>
        <v/>
      </c>
      <c r="P416" s="16">
        <f>IF(A416="","",IF(M416=TRUE,IFERROR(I416,0),0))</f>
        <v/>
      </c>
      <c r="Q416" s="16">
        <f>IF(A416="","",IF(M416=TRUE,IFERROR(J416,0),0))</f>
        <v/>
      </c>
      <c r="R416" s="16">
        <f>IF(A416="","",IF(M416=TRUE,IFERROR(K416,0),0))</f>
        <v/>
      </c>
      <c r="S416" s="16">
        <f>IF(A416="","",IF(M416=TRUE,IFERROR(L416,0),0))</f>
        <v/>
      </c>
      <c r="T416" s="16">
        <f>IF(A416="","",IF(M416=TRUE,IFERROR(H416,0)+IFERROR(I416,0)+IFERROR(L416,0),0))</f>
        <v/>
      </c>
    </row>
    <row r="417">
      <c r="A417" s="10" t="n"/>
      <c r="B417" s="10" t="n"/>
      <c r="C417" s="11" t="n"/>
      <c r="D417" s="11" t="n"/>
      <c r="E417" s="10" t="n"/>
      <c r="F417" s="10" t="n"/>
      <c r="G417" s="12" t="n"/>
      <c r="H417" s="13" t="n"/>
      <c r="I417" s="13" t="n"/>
      <c r="J417" s="13" t="n"/>
      <c r="K417" s="13" t="n"/>
      <c r="L417" s="13" t="n"/>
      <c r="M417" s="17">
        <f>IF(A417="","",IFERROR(VLOOKUP(A417,Raw_CurrentMonth!A:O,15,FALSE)=TRUE,FALSE))</f>
        <v/>
      </c>
      <c r="N417" s="16">
        <f>IF(A417="","",IF(M417=TRUE,IFERROR(H417,0)+IFERROR(I417,0)+IFERROR(J417,0)+IFERROR(K417,0)+IFERROR(L417,0),0))</f>
        <v/>
      </c>
      <c r="O417" s="16">
        <f>IF(A417="","",IF(M417=TRUE,IFERROR(H417,0),0))</f>
        <v/>
      </c>
      <c r="P417" s="16">
        <f>IF(A417="","",IF(M417=TRUE,IFERROR(I417,0),0))</f>
        <v/>
      </c>
      <c r="Q417" s="16">
        <f>IF(A417="","",IF(M417=TRUE,IFERROR(J417,0),0))</f>
        <v/>
      </c>
      <c r="R417" s="16">
        <f>IF(A417="","",IF(M417=TRUE,IFERROR(K417,0),0))</f>
        <v/>
      </c>
      <c r="S417" s="16">
        <f>IF(A417="","",IF(M417=TRUE,IFERROR(L417,0),0))</f>
        <v/>
      </c>
      <c r="T417" s="16">
        <f>IF(A417="","",IF(M417=TRUE,IFERROR(H417,0)+IFERROR(I417,0)+IFERROR(L417,0),0))</f>
        <v/>
      </c>
    </row>
    <row r="418">
      <c r="A418" s="10" t="n"/>
      <c r="B418" s="10" t="n"/>
      <c r="C418" s="11" t="n"/>
      <c r="D418" s="11" t="n"/>
      <c r="E418" s="10" t="n"/>
      <c r="F418" s="10" t="n"/>
      <c r="G418" s="12" t="n"/>
      <c r="H418" s="13" t="n"/>
      <c r="I418" s="13" t="n"/>
      <c r="J418" s="13" t="n"/>
      <c r="K418" s="13" t="n"/>
      <c r="L418" s="13" t="n"/>
      <c r="M418" s="17">
        <f>IF(A418="","",IFERROR(VLOOKUP(A418,Raw_CurrentMonth!A:O,15,FALSE)=TRUE,FALSE))</f>
        <v/>
      </c>
      <c r="N418" s="16">
        <f>IF(A418="","",IF(M418=TRUE,IFERROR(H418,0)+IFERROR(I418,0)+IFERROR(J418,0)+IFERROR(K418,0)+IFERROR(L418,0),0))</f>
        <v/>
      </c>
      <c r="O418" s="16">
        <f>IF(A418="","",IF(M418=TRUE,IFERROR(H418,0),0))</f>
        <v/>
      </c>
      <c r="P418" s="16">
        <f>IF(A418="","",IF(M418=TRUE,IFERROR(I418,0),0))</f>
        <v/>
      </c>
      <c r="Q418" s="16">
        <f>IF(A418="","",IF(M418=TRUE,IFERROR(J418,0),0))</f>
        <v/>
      </c>
      <c r="R418" s="16">
        <f>IF(A418="","",IF(M418=TRUE,IFERROR(K418,0),0))</f>
        <v/>
      </c>
      <c r="S418" s="16">
        <f>IF(A418="","",IF(M418=TRUE,IFERROR(L418,0),0))</f>
        <v/>
      </c>
      <c r="T418" s="16">
        <f>IF(A418="","",IF(M418=TRUE,IFERROR(H418,0)+IFERROR(I418,0)+IFERROR(L418,0),0))</f>
        <v/>
      </c>
    </row>
    <row r="419">
      <c r="A419" s="10" t="n"/>
      <c r="B419" s="10" t="n"/>
      <c r="C419" s="11" t="n"/>
      <c r="D419" s="11" t="n"/>
      <c r="E419" s="10" t="n"/>
      <c r="F419" s="10" t="n"/>
      <c r="G419" s="12" t="n"/>
      <c r="H419" s="13" t="n"/>
      <c r="I419" s="13" t="n"/>
      <c r="J419" s="13" t="n"/>
      <c r="K419" s="13" t="n"/>
      <c r="L419" s="13" t="n"/>
      <c r="M419" s="17">
        <f>IF(A419="","",IFERROR(VLOOKUP(A419,Raw_CurrentMonth!A:O,15,FALSE)=TRUE,FALSE))</f>
        <v/>
      </c>
      <c r="N419" s="16">
        <f>IF(A419="","",IF(M419=TRUE,IFERROR(H419,0)+IFERROR(I419,0)+IFERROR(J419,0)+IFERROR(K419,0)+IFERROR(L419,0),0))</f>
        <v/>
      </c>
      <c r="O419" s="16">
        <f>IF(A419="","",IF(M419=TRUE,IFERROR(H419,0),0))</f>
        <v/>
      </c>
      <c r="P419" s="16">
        <f>IF(A419="","",IF(M419=TRUE,IFERROR(I419,0),0))</f>
        <v/>
      </c>
      <c r="Q419" s="16">
        <f>IF(A419="","",IF(M419=TRUE,IFERROR(J419,0),0))</f>
        <v/>
      </c>
      <c r="R419" s="16">
        <f>IF(A419="","",IF(M419=TRUE,IFERROR(K419,0),0))</f>
        <v/>
      </c>
      <c r="S419" s="16">
        <f>IF(A419="","",IF(M419=TRUE,IFERROR(L419,0),0))</f>
        <v/>
      </c>
      <c r="T419" s="16">
        <f>IF(A419="","",IF(M419=TRUE,IFERROR(H419,0)+IFERROR(I419,0)+IFERROR(L419,0),0))</f>
        <v/>
      </c>
    </row>
    <row r="420">
      <c r="A420" s="10" t="n"/>
      <c r="B420" s="10" t="n"/>
      <c r="C420" s="11" t="n"/>
      <c r="D420" s="11" t="n"/>
      <c r="E420" s="10" t="n"/>
      <c r="F420" s="10" t="n"/>
      <c r="G420" s="12" t="n"/>
      <c r="H420" s="13" t="n"/>
      <c r="I420" s="13" t="n"/>
      <c r="J420" s="13" t="n"/>
      <c r="K420" s="13" t="n"/>
      <c r="L420" s="13" t="n"/>
      <c r="M420" s="17">
        <f>IF(A420="","",IFERROR(VLOOKUP(A420,Raw_CurrentMonth!A:O,15,FALSE)=TRUE,FALSE))</f>
        <v/>
      </c>
      <c r="N420" s="16">
        <f>IF(A420="","",IF(M420=TRUE,IFERROR(H420,0)+IFERROR(I420,0)+IFERROR(J420,0)+IFERROR(K420,0)+IFERROR(L420,0),0))</f>
        <v/>
      </c>
      <c r="O420" s="16">
        <f>IF(A420="","",IF(M420=TRUE,IFERROR(H420,0),0))</f>
        <v/>
      </c>
      <c r="P420" s="16">
        <f>IF(A420="","",IF(M420=TRUE,IFERROR(I420,0),0))</f>
        <v/>
      </c>
      <c r="Q420" s="16">
        <f>IF(A420="","",IF(M420=TRUE,IFERROR(J420,0),0))</f>
        <v/>
      </c>
      <c r="R420" s="16">
        <f>IF(A420="","",IF(M420=TRUE,IFERROR(K420,0),0))</f>
        <v/>
      </c>
      <c r="S420" s="16">
        <f>IF(A420="","",IF(M420=TRUE,IFERROR(L420,0),0))</f>
        <v/>
      </c>
      <c r="T420" s="16">
        <f>IF(A420="","",IF(M420=TRUE,IFERROR(H420,0)+IFERROR(I420,0)+IFERROR(L420,0),0))</f>
        <v/>
      </c>
    </row>
    <row r="421">
      <c r="A421" s="10" t="n"/>
      <c r="B421" s="10" t="n"/>
      <c r="C421" s="11" t="n"/>
      <c r="D421" s="11" t="n"/>
      <c r="E421" s="10" t="n"/>
      <c r="F421" s="10" t="n"/>
      <c r="G421" s="12" t="n"/>
      <c r="H421" s="13" t="n"/>
      <c r="I421" s="13" t="n"/>
      <c r="J421" s="13" t="n"/>
      <c r="K421" s="13" t="n"/>
      <c r="L421" s="13" t="n"/>
      <c r="M421" s="17">
        <f>IF(A421="","",IFERROR(VLOOKUP(A421,Raw_CurrentMonth!A:O,15,FALSE)=TRUE,FALSE))</f>
        <v/>
      </c>
      <c r="N421" s="16">
        <f>IF(A421="","",IF(M421=TRUE,IFERROR(H421,0)+IFERROR(I421,0)+IFERROR(J421,0)+IFERROR(K421,0)+IFERROR(L421,0),0))</f>
        <v/>
      </c>
      <c r="O421" s="16">
        <f>IF(A421="","",IF(M421=TRUE,IFERROR(H421,0),0))</f>
        <v/>
      </c>
      <c r="P421" s="16">
        <f>IF(A421="","",IF(M421=TRUE,IFERROR(I421,0),0))</f>
        <v/>
      </c>
      <c r="Q421" s="16">
        <f>IF(A421="","",IF(M421=TRUE,IFERROR(J421,0),0))</f>
        <v/>
      </c>
      <c r="R421" s="16">
        <f>IF(A421="","",IF(M421=TRUE,IFERROR(K421,0),0))</f>
        <v/>
      </c>
      <c r="S421" s="16">
        <f>IF(A421="","",IF(M421=TRUE,IFERROR(L421,0),0))</f>
        <v/>
      </c>
      <c r="T421" s="16">
        <f>IF(A421="","",IF(M421=TRUE,IFERROR(H421,0)+IFERROR(I421,0)+IFERROR(L421,0),0))</f>
        <v/>
      </c>
    </row>
    <row r="422">
      <c r="A422" s="10" t="n"/>
      <c r="B422" s="10" t="n"/>
      <c r="C422" s="11" t="n"/>
      <c r="D422" s="11" t="n"/>
      <c r="E422" s="10" t="n"/>
      <c r="F422" s="10" t="n"/>
      <c r="G422" s="12" t="n"/>
      <c r="H422" s="13" t="n"/>
      <c r="I422" s="13" t="n"/>
      <c r="J422" s="13" t="n"/>
      <c r="K422" s="13" t="n"/>
      <c r="L422" s="13" t="n"/>
      <c r="M422" s="17">
        <f>IF(A422="","",IFERROR(VLOOKUP(A422,Raw_CurrentMonth!A:O,15,FALSE)=TRUE,FALSE))</f>
        <v/>
      </c>
      <c r="N422" s="16">
        <f>IF(A422="","",IF(M422=TRUE,IFERROR(H422,0)+IFERROR(I422,0)+IFERROR(J422,0)+IFERROR(K422,0)+IFERROR(L422,0),0))</f>
        <v/>
      </c>
      <c r="O422" s="16">
        <f>IF(A422="","",IF(M422=TRUE,IFERROR(H422,0),0))</f>
        <v/>
      </c>
      <c r="P422" s="16">
        <f>IF(A422="","",IF(M422=TRUE,IFERROR(I422,0),0))</f>
        <v/>
      </c>
      <c r="Q422" s="16">
        <f>IF(A422="","",IF(M422=TRUE,IFERROR(J422,0),0))</f>
        <v/>
      </c>
      <c r="R422" s="16">
        <f>IF(A422="","",IF(M422=TRUE,IFERROR(K422,0),0))</f>
        <v/>
      </c>
      <c r="S422" s="16">
        <f>IF(A422="","",IF(M422=TRUE,IFERROR(L422,0),0))</f>
        <v/>
      </c>
      <c r="T422" s="16">
        <f>IF(A422="","",IF(M422=TRUE,IFERROR(H422,0)+IFERROR(I422,0)+IFERROR(L422,0),0))</f>
        <v/>
      </c>
    </row>
    <row r="423">
      <c r="A423" s="10" t="n"/>
      <c r="B423" s="10" t="n"/>
      <c r="C423" s="11" t="n"/>
      <c r="D423" s="11" t="n"/>
      <c r="E423" s="10" t="n"/>
      <c r="F423" s="10" t="n"/>
      <c r="G423" s="12" t="n"/>
      <c r="H423" s="13" t="n"/>
      <c r="I423" s="13" t="n"/>
      <c r="J423" s="13" t="n"/>
      <c r="K423" s="13" t="n"/>
      <c r="L423" s="13" t="n"/>
      <c r="M423" s="17">
        <f>IF(A423="","",IFERROR(VLOOKUP(A423,Raw_CurrentMonth!A:O,15,FALSE)=TRUE,FALSE))</f>
        <v/>
      </c>
      <c r="N423" s="16">
        <f>IF(A423="","",IF(M423=TRUE,IFERROR(H423,0)+IFERROR(I423,0)+IFERROR(J423,0)+IFERROR(K423,0)+IFERROR(L423,0),0))</f>
        <v/>
      </c>
      <c r="O423" s="16">
        <f>IF(A423="","",IF(M423=TRUE,IFERROR(H423,0),0))</f>
        <v/>
      </c>
      <c r="P423" s="16">
        <f>IF(A423="","",IF(M423=TRUE,IFERROR(I423,0),0))</f>
        <v/>
      </c>
      <c r="Q423" s="16">
        <f>IF(A423="","",IF(M423=TRUE,IFERROR(J423,0),0))</f>
        <v/>
      </c>
      <c r="R423" s="16">
        <f>IF(A423="","",IF(M423=TRUE,IFERROR(K423,0),0))</f>
        <v/>
      </c>
      <c r="S423" s="16">
        <f>IF(A423="","",IF(M423=TRUE,IFERROR(L423,0),0))</f>
        <v/>
      </c>
      <c r="T423" s="16">
        <f>IF(A423="","",IF(M423=TRUE,IFERROR(H423,0)+IFERROR(I423,0)+IFERROR(L423,0),0))</f>
        <v/>
      </c>
    </row>
    <row r="424">
      <c r="A424" s="10" t="n"/>
      <c r="B424" s="10" t="n"/>
      <c r="C424" s="11" t="n"/>
      <c r="D424" s="11" t="n"/>
      <c r="E424" s="10" t="n"/>
      <c r="F424" s="10" t="n"/>
      <c r="G424" s="12" t="n"/>
      <c r="H424" s="13" t="n"/>
      <c r="I424" s="13" t="n"/>
      <c r="J424" s="13" t="n"/>
      <c r="K424" s="13" t="n"/>
      <c r="L424" s="13" t="n"/>
      <c r="M424" s="17">
        <f>IF(A424="","",IFERROR(VLOOKUP(A424,Raw_CurrentMonth!A:O,15,FALSE)=TRUE,FALSE))</f>
        <v/>
      </c>
      <c r="N424" s="16">
        <f>IF(A424="","",IF(M424=TRUE,IFERROR(H424,0)+IFERROR(I424,0)+IFERROR(J424,0)+IFERROR(K424,0)+IFERROR(L424,0),0))</f>
        <v/>
      </c>
      <c r="O424" s="16">
        <f>IF(A424="","",IF(M424=TRUE,IFERROR(H424,0),0))</f>
        <v/>
      </c>
      <c r="P424" s="16">
        <f>IF(A424="","",IF(M424=TRUE,IFERROR(I424,0),0))</f>
        <v/>
      </c>
      <c r="Q424" s="16">
        <f>IF(A424="","",IF(M424=TRUE,IFERROR(J424,0),0))</f>
        <v/>
      </c>
      <c r="R424" s="16">
        <f>IF(A424="","",IF(M424=TRUE,IFERROR(K424,0),0))</f>
        <v/>
      </c>
      <c r="S424" s="16">
        <f>IF(A424="","",IF(M424=TRUE,IFERROR(L424,0),0))</f>
        <v/>
      </c>
      <c r="T424" s="16">
        <f>IF(A424="","",IF(M424=TRUE,IFERROR(H424,0)+IFERROR(I424,0)+IFERROR(L424,0),0))</f>
        <v/>
      </c>
    </row>
    <row r="425">
      <c r="A425" s="10" t="n"/>
      <c r="B425" s="10" t="n"/>
      <c r="C425" s="11" t="n"/>
      <c r="D425" s="11" t="n"/>
      <c r="E425" s="10" t="n"/>
      <c r="F425" s="10" t="n"/>
      <c r="G425" s="12" t="n"/>
      <c r="H425" s="13" t="n"/>
      <c r="I425" s="13" t="n"/>
      <c r="J425" s="13" t="n"/>
      <c r="K425" s="13" t="n"/>
      <c r="L425" s="13" t="n"/>
      <c r="M425" s="17">
        <f>IF(A425="","",IFERROR(VLOOKUP(A425,Raw_CurrentMonth!A:O,15,FALSE)=TRUE,FALSE))</f>
        <v/>
      </c>
      <c r="N425" s="16">
        <f>IF(A425="","",IF(M425=TRUE,IFERROR(H425,0)+IFERROR(I425,0)+IFERROR(J425,0)+IFERROR(K425,0)+IFERROR(L425,0),0))</f>
        <v/>
      </c>
      <c r="O425" s="16">
        <f>IF(A425="","",IF(M425=TRUE,IFERROR(H425,0),0))</f>
        <v/>
      </c>
      <c r="P425" s="16">
        <f>IF(A425="","",IF(M425=TRUE,IFERROR(I425,0),0))</f>
        <v/>
      </c>
      <c r="Q425" s="16">
        <f>IF(A425="","",IF(M425=TRUE,IFERROR(J425,0),0))</f>
        <v/>
      </c>
      <c r="R425" s="16">
        <f>IF(A425="","",IF(M425=TRUE,IFERROR(K425,0),0))</f>
        <v/>
      </c>
      <c r="S425" s="16">
        <f>IF(A425="","",IF(M425=TRUE,IFERROR(L425,0),0))</f>
        <v/>
      </c>
      <c r="T425" s="16">
        <f>IF(A425="","",IF(M425=TRUE,IFERROR(H425,0)+IFERROR(I425,0)+IFERROR(L425,0),0))</f>
        <v/>
      </c>
    </row>
    <row r="426">
      <c r="A426" s="10" t="n"/>
      <c r="B426" s="10" t="n"/>
      <c r="C426" s="11" t="n"/>
      <c r="D426" s="11" t="n"/>
      <c r="E426" s="10" t="n"/>
      <c r="F426" s="10" t="n"/>
      <c r="G426" s="12" t="n"/>
      <c r="H426" s="13" t="n"/>
      <c r="I426" s="13" t="n"/>
      <c r="J426" s="13" t="n"/>
      <c r="K426" s="13" t="n"/>
      <c r="L426" s="13" t="n"/>
      <c r="M426" s="17">
        <f>IF(A426="","",IFERROR(VLOOKUP(A426,Raw_CurrentMonth!A:O,15,FALSE)=TRUE,FALSE))</f>
        <v/>
      </c>
      <c r="N426" s="16">
        <f>IF(A426="","",IF(M426=TRUE,IFERROR(H426,0)+IFERROR(I426,0)+IFERROR(J426,0)+IFERROR(K426,0)+IFERROR(L426,0),0))</f>
        <v/>
      </c>
      <c r="O426" s="16">
        <f>IF(A426="","",IF(M426=TRUE,IFERROR(H426,0),0))</f>
        <v/>
      </c>
      <c r="P426" s="16">
        <f>IF(A426="","",IF(M426=TRUE,IFERROR(I426,0),0))</f>
        <v/>
      </c>
      <c r="Q426" s="16">
        <f>IF(A426="","",IF(M426=TRUE,IFERROR(J426,0),0))</f>
        <v/>
      </c>
      <c r="R426" s="16">
        <f>IF(A426="","",IF(M426=TRUE,IFERROR(K426,0),0))</f>
        <v/>
      </c>
      <c r="S426" s="16">
        <f>IF(A426="","",IF(M426=TRUE,IFERROR(L426,0),0))</f>
        <v/>
      </c>
      <c r="T426" s="16">
        <f>IF(A426="","",IF(M426=TRUE,IFERROR(H426,0)+IFERROR(I426,0)+IFERROR(L426,0),0))</f>
        <v/>
      </c>
    </row>
    <row r="427">
      <c r="A427" s="10" t="n"/>
      <c r="B427" s="10" t="n"/>
      <c r="C427" s="11" t="n"/>
      <c r="D427" s="11" t="n"/>
      <c r="E427" s="10" t="n"/>
      <c r="F427" s="10" t="n"/>
      <c r="G427" s="12" t="n"/>
      <c r="H427" s="13" t="n"/>
      <c r="I427" s="13" t="n"/>
      <c r="J427" s="13" t="n"/>
      <c r="K427" s="13" t="n"/>
      <c r="L427" s="13" t="n"/>
      <c r="M427" s="17">
        <f>IF(A427="","",IFERROR(VLOOKUP(A427,Raw_CurrentMonth!A:O,15,FALSE)=TRUE,FALSE))</f>
        <v/>
      </c>
      <c r="N427" s="16">
        <f>IF(A427="","",IF(M427=TRUE,IFERROR(H427,0)+IFERROR(I427,0)+IFERROR(J427,0)+IFERROR(K427,0)+IFERROR(L427,0),0))</f>
        <v/>
      </c>
      <c r="O427" s="16">
        <f>IF(A427="","",IF(M427=TRUE,IFERROR(H427,0),0))</f>
        <v/>
      </c>
      <c r="P427" s="16">
        <f>IF(A427="","",IF(M427=TRUE,IFERROR(I427,0),0))</f>
        <v/>
      </c>
      <c r="Q427" s="16">
        <f>IF(A427="","",IF(M427=TRUE,IFERROR(J427,0),0))</f>
        <v/>
      </c>
      <c r="R427" s="16">
        <f>IF(A427="","",IF(M427=TRUE,IFERROR(K427,0),0))</f>
        <v/>
      </c>
      <c r="S427" s="16">
        <f>IF(A427="","",IF(M427=TRUE,IFERROR(L427,0),0))</f>
        <v/>
      </c>
      <c r="T427" s="16">
        <f>IF(A427="","",IF(M427=TRUE,IFERROR(H427,0)+IFERROR(I427,0)+IFERROR(L427,0),0))</f>
        <v/>
      </c>
    </row>
    <row r="428">
      <c r="A428" s="10" t="n"/>
      <c r="B428" s="10" t="n"/>
      <c r="C428" s="11" t="n"/>
      <c r="D428" s="11" t="n"/>
      <c r="E428" s="10" t="n"/>
      <c r="F428" s="10" t="n"/>
      <c r="G428" s="12" t="n"/>
      <c r="H428" s="13" t="n"/>
      <c r="I428" s="13" t="n"/>
      <c r="J428" s="13" t="n"/>
      <c r="K428" s="13" t="n"/>
      <c r="L428" s="13" t="n"/>
      <c r="M428" s="17">
        <f>IF(A428="","",IFERROR(VLOOKUP(A428,Raw_CurrentMonth!A:O,15,FALSE)=TRUE,FALSE))</f>
        <v/>
      </c>
      <c r="N428" s="16">
        <f>IF(A428="","",IF(M428=TRUE,IFERROR(H428,0)+IFERROR(I428,0)+IFERROR(J428,0)+IFERROR(K428,0)+IFERROR(L428,0),0))</f>
        <v/>
      </c>
      <c r="O428" s="16">
        <f>IF(A428="","",IF(M428=TRUE,IFERROR(H428,0),0))</f>
        <v/>
      </c>
      <c r="P428" s="16">
        <f>IF(A428="","",IF(M428=TRUE,IFERROR(I428,0),0))</f>
        <v/>
      </c>
      <c r="Q428" s="16">
        <f>IF(A428="","",IF(M428=TRUE,IFERROR(J428,0),0))</f>
        <v/>
      </c>
      <c r="R428" s="16">
        <f>IF(A428="","",IF(M428=TRUE,IFERROR(K428,0),0))</f>
        <v/>
      </c>
      <c r="S428" s="16">
        <f>IF(A428="","",IF(M428=TRUE,IFERROR(L428,0),0))</f>
        <v/>
      </c>
      <c r="T428" s="16">
        <f>IF(A428="","",IF(M428=TRUE,IFERROR(H428,0)+IFERROR(I428,0)+IFERROR(L428,0),0))</f>
        <v/>
      </c>
    </row>
    <row r="429">
      <c r="A429" s="10" t="n"/>
      <c r="B429" s="10" t="n"/>
      <c r="C429" s="11" t="n"/>
      <c r="D429" s="11" t="n"/>
      <c r="E429" s="10" t="n"/>
      <c r="F429" s="10" t="n"/>
      <c r="G429" s="12" t="n"/>
      <c r="H429" s="13" t="n"/>
      <c r="I429" s="13" t="n"/>
      <c r="J429" s="13" t="n"/>
      <c r="K429" s="13" t="n"/>
      <c r="L429" s="13" t="n"/>
      <c r="M429" s="17">
        <f>IF(A429="","",IFERROR(VLOOKUP(A429,Raw_CurrentMonth!A:O,15,FALSE)=TRUE,FALSE))</f>
        <v/>
      </c>
      <c r="N429" s="16">
        <f>IF(A429="","",IF(M429=TRUE,IFERROR(H429,0)+IFERROR(I429,0)+IFERROR(J429,0)+IFERROR(K429,0)+IFERROR(L429,0),0))</f>
        <v/>
      </c>
      <c r="O429" s="16">
        <f>IF(A429="","",IF(M429=TRUE,IFERROR(H429,0),0))</f>
        <v/>
      </c>
      <c r="P429" s="16">
        <f>IF(A429="","",IF(M429=TRUE,IFERROR(I429,0),0))</f>
        <v/>
      </c>
      <c r="Q429" s="16">
        <f>IF(A429="","",IF(M429=TRUE,IFERROR(J429,0),0))</f>
        <v/>
      </c>
      <c r="R429" s="16">
        <f>IF(A429="","",IF(M429=TRUE,IFERROR(K429,0),0))</f>
        <v/>
      </c>
      <c r="S429" s="16">
        <f>IF(A429="","",IF(M429=TRUE,IFERROR(L429,0),0))</f>
        <v/>
      </c>
      <c r="T429" s="16">
        <f>IF(A429="","",IF(M429=TRUE,IFERROR(H429,0)+IFERROR(I429,0)+IFERROR(L429,0),0))</f>
        <v/>
      </c>
    </row>
    <row r="430">
      <c r="A430" s="10" t="n"/>
      <c r="B430" s="10" t="n"/>
      <c r="C430" s="11" t="n"/>
      <c r="D430" s="11" t="n"/>
      <c r="E430" s="10" t="n"/>
      <c r="F430" s="10" t="n"/>
      <c r="G430" s="12" t="n"/>
      <c r="H430" s="13" t="n"/>
      <c r="I430" s="13" t="n"/>
      <c r="J430" s="13" t="n"/>
      <c r="K430" s="13" t="n"/>
      <c r="L430" s="13" t="n"/>
      <c r="M430" s="17">
        <f>IF(A430="","",IFERROR(VLOOKUP(A430,Raw_CurrentMonth!A:O,15,FALSE)=TRUE,FALSE))</f>
        <v/>
      </c>
      <c r="N430" s="16">
        <f>IF(A430="","",IF(M430=TRUE,IFERROR(H430,0)+IFERROR(I430,0)+IFERROR(J430,0)+IFERROR(K430,0)+IFERROR(L430,0),0))</f>
        <v/>
      </c>
      <c r="O430" s="16">
        <f>IF(A430="","",IF(M430=TRUE,IFERROR(H430,0),0))</f>
        <v/>
      </c>
      <c r="P430" s="16">
        <f>IF(A430="","",IF(M430=TRUE,IFERROR(I430,0),0))</f>
        <v/>
      </c>
      <c r="Q430" s="16">
        <f>IF(A430="","",IF(M430=TRUE,IFERROR(J430,0),0))</f>
        <v/>
      </c>
      <c r="R430" s="16">
        <f>IF(A430="","",IF(M430=TRUE,IFERROR(K430,0),0))</f>
        <v/>
      </c>
      <c r="S430" s="16">
        <f>IF(A430="","",IF(M430=TRUE,IFERROR(L430,0),0))</f>
        <v/>
      </c>
      <c r="T430" s="16">
        <f>IF(A430="","",IF(M430=TRUE,IFERROR(H430,0)+IFERROR(I430,0)+IFERROR(L430,0),0))</f>
        <v/>
      </c>
    </row>
    <row r="431">
      <c r="A431" s="10" t="n"/>
      <c r="B431" s="10" t="n"/>
      <c r="C431" s="11" t="n"/>
      <c r="D431" s="11" t="n"/>
      <c r="E431" s="10" t="n"/>
      <c r="F431" s="10" t="n"/>
      <c r="G431" s="12" t="n"/>
      <c r="H431" s="13" t="n"/>
      <c r="I431" s="13" t="n"/>
      <c r="J431" s="13" t="n"/>
      <c r="K431" s="13" t="n"/>
      <c r="L431" s="13" t="n"/>
      <c r="M431" s="17">
        <f>IF(A431="","",IFERROR(VLOOKUP(A431,Raw_CurrentMonth!A:O,15,FALSE)=TRUE,FALSE))</f>
        <v/>
      </c>
      <c r="N431" s="16">
        <f>IF(A431="","",IF(M431=TRUE,IFERROR(H431,0)+IFERROR(I431,0)+IFERROR(J431,0)+IFERROR(K431,0)+IFERROR(L431,0),0))</f>
        <v/>
      </c>
      <c r="O431" s="16">
        <f>IF(A431="","",IF(M431=TRUE,IFERROR(H431,0),0))</f>
        <v/>
      </c>
      <c r="P431" s="16">
        <f>IF(A431="","",IF(M431=TRUE,IFERROR(I431,0),0))</f>
        <v/>
      </c>
      <c r="Q431" s="16">
        <f>IF(A431="","",IF(M431=TRUE,IFERROR(J431,0),0))</f>
        <v/>
      </c>
      <c r="R431" s="16">
        <f>IF(A431="","",IF(M431=TRUE,IFERROR(K431,0),0))</f>
        <v/>
      </c>
      <c r="S431" s="16">
        <f>IF(A431="","",IF(M431=TRUE,IFERROR(L431,0),0))</f>
        <v/>
      </c>
      <c r="T431" s="16">
        <f>IF(A431="","",IF(M431=TRUE,IFERROR(H431,0)+IFERROR(I431,0)+IFERROR(L431,0),0))</f>
        <v/>
      </c>
    </row>
    <row r="432">
      <c r="A432" s="10" t="n"/>
      <c r="B432" s="10" t="n"/>
      <c r="C432" s="11" t="n"/>
      <c r="D432" s="11" t="n"/>
      <c r="E432" s="10" t="n"/>
      <c r="F432" s="10" t="n"/>
      <c r="G432" s="12" t="n"/>
      <c r="H432" s="13" t="n"/>
      <c r="I432" s="13" t="n"/>
      <c r="J432" s="13" t="n"/>
      <c r="K432" s="13" t="n"/>
      <c r="L432" s="13" t="n"/>
      <c r="M432" s="17">
        <f>IF(A432="","",IFERROR(VLOOKUP(A432,Raw_CurrentMonth!A:O,15,FALSE)=TRUE,FALSE))</f>
        <v/>
      </c>
      <c r="N432" s="16">
        <f>IF(A432="","",IF(M432=TRUE,IFERROR(H432,0)+IFERROR(I432,0)+IFERROR(J432,0)+IFERROR(K432,0)+IFERROR(L432,0),0))</f>
        <v/>
      </c>
      <c r="O432" s="16">
        <f>IF(A432="","",IF(M432=TRUE,IFERROR(H432,0),0))</f>
        <v/>
      </c>
      <c r="P432" s="16">
        <f>IF(A432="","",IF(M432=TRUE,IFERROR(I432,0),0))</f>
        <v/>
      </c>
      <c r="Q432" s="16">
        <f>IF(A432="","",IF(M432=TRUE,IFERROR(J432,0),0))</f>
        <v/>
      </c>
      <c r="R432" s="16">
        <f>IF(A432="","",IF(M432=TRUE,IFERROR(K432,0),0))</f>
        <v/>
      </c>
      <c r="S432" s="16">
        <f>IF(A432="","",IF(M432=TRUE,IFERROR(L432,0),0))</f>
        <v/>
      </c>
      <c r="T432" s="16">
        <f>IF(A432="","",IF(M432=TRUE,IFERROR(H432,0)+IFERROR(I432,0)+IFERROR(L432,0),0))</f>
        <v/>
      </c>
    </row>
    <row r="433">
      <c r="A433" s="10" t="n"/>
      <c r="B433" s="10" t="n"/>
      <c r="C433" s="11" t="n"/>
      <c r="D433" s="11" t="n"/>
      <c r="E433" s="10" t="n"/>
      <c r="F433" s="10" t="n"/>
      <c r="G433" s="12" t="n"/>
      <c r="H433" s="13" t="n"/>
      <c r="I433" s="13" t="n"/>
      <c r="J433" s="13" t="n"/>
      <c r="K433" s="13" t="n"/>
      <c r="L433" s="13" t="n"/>
      <c r="M433" s="17">
        <f>IF(A433="","",IFERROR(VLOOKUP(A433,Raw_CurrentMonth!A:O,15,FALSE)=TRUE,FALSE))</f>
        <v/>
      </c>
      <c r="N433" s="16">
        <f>IF(A433="","",IF(M433=TRUE,IFERROR(H433,0)+IFERROR(I433,0)+IFERROR(J433,0)+IFERROR(K433,0)+IFERROR(L433,0),0))</f>
        <v/>
      </c>
      <c r="O433" s="16">
        <f>IF(A433="","",IF(M433=TRUE,IFERROR(H433,0),0))</f>
        <v/>
      </c>
      <c r="P433" s="16">
        <f>IF(A433="","",IF(M433=TRUE,IFERROR(I433,0),0))</f>
        <v/>
      </c>
      <c r="Q433" s="16">
        <f>IF(A433="","",IF(M433=TRUE,IFERROR(J433,0),0))</f>
        <v/>
      </c>
      <c r="R433" s="16">
        <f>IF(A433="","",IF(M433=TRUE,IFERROR(K433,0),0))</f>
        <v/>
      </c>
      <c r="S433" s="16">
        <f>IF(A433="","",IF(M433=TRUE,IFERROR(L433,0),0))</f>
        <v/>
      </c>
      <c r="T433" s="16">
        <f>IF(A433="","",IF(M433=TRUE,IFERROR(H433,0)+IFERROR(I433,0)+IFERROR(L433,0),0))</f>
        <v/>
      </c>
    </row>
    <row r="434">
      <c r="A434" s="10" t="n"/>
      <c r="B434" s="10" t="n"/>
      <c r="C434" s="11" t="n"/>
      <c r="D434" s="11" t="n"/>
      <c r="E434" s="10" t="n"/>
      <c r="F434" s="10" t="n"/>
      <c r="G434" s="12" t="n"/>
      <c r="H434" s="13" t="n"/>
      <c r="I434" s="13" t="n"/>
      <c r="J434" s="13" t="n"/>
      <c r="K434" s="13" t="n"/>
      <c r="L434" s="13" t="n"/>
      <c r="M434" s="17">
        <f>IF(A434="","",IFERROR(VLOOKUP(A434,Raw_CurrentMonth!A:O,15,FALSE)=TRUE,FALSE))</f>
        <v/>
      </c>
      <c r="N434" s="16">
        <f>IF(A434="","",IF(M434=TRUE,IFERROR(H434,0)+IFERROR(I434,0)+IFERROR(J434,0)+IFERROR(K434,0)+IFERROR(L434,0),0))</f>
        <v/>
      </c>
      <c r="O434" s="16">
        <f>IF(A434="","",IF(M434=TRUE,IFERROR(H434,0),0))</f>
        <v/>
      </c>
      <c r="P434" s="16">
        <f>IF(A434="","",IF(M434=TRUE,IFERROR(I434,0),0))</f>
        <v/>
      </c>
      <c r="Q434" s="16">
        <f>IF(A434="","",IF(M434=TRUE,IFERROR(J434,0),0))</f>
        <v/>
      </c>
      <c r="R434" s="16">
        <f>IF(A434="","",IF(M434=TRUE,IFERROR(K434,0),0))</f>
        <v/>
      </c>
      <c r="S434" s="16">
        <f>IF(A434="","",IF(M434=TRUE,IFERROR(L434,0),0))</f>
        <v/>
      </c>
      <c r="T434" s="16">
        <f>IF(A434="","",IF(M434=TRUE,IFERROR(H434,0)+IFERROR(I434,0)+IFERROR(L434,0),0))</f>
        <v/>
      </c>
    </row>
    <row r="435">
      <c r="A435" s="10" t="n"/>
      <c r="B435" s="10" t="n"/>
      <c r="C435" s="11" t="n"/>
      <c r="D435" s="11" t="n"/>
      <c r="E435" s="10" t="n"/>
      <c r="F435" s="10" t="n"/>
      <c r="G435" s="12" t="n"/>
      <c r="H435" s="13" t="n"/>
      <c r="I435" s="13" t="n"/>
      <c r="J435" s="13" t="n"/>
      <c r="K435" s="13" t="n"/>
      <c r="L435" s="13" t="n"/>
      <c r="M435" s="17">
        <f>IF(A435="","",IFERROR(VLOOKUP(A435,Raw_CurrentMonth!A:O,15,FALSE)=TRUE,FALSE))</f>
        <v/>
      </c>
      <c r="N435" s="16">
        <f>IF(A435="","",IF(M435=TRUE,IFERROR(H435,0)+IFERROR(I435,0)+IFERROR(J435,0)+IFERROR(K435,0)+IFERROR(L435,0),0))</f>
        <v/>
      </c>
      <c r="O435" s="16">
        <f>IF(A435="","",IF(M435=TRUE,IFERROR(H435,0),0))</f>
        <v/>
      </c>
      <c r="P435" s="16">
        <f>IF(A435="","",IF(M435=TRUE,IFERROR(I435,0),0))</f>
        <v/>
      </c>
      <c r="Q435" s="16">
        <f>IF(A435="","",IF(M435=TRUE,IFERROR(J435,0),0))</f>
        <v/>
      </c>
      <c r="R435" s="16">
        <f>IF(A435="","",IF(M435=TRUE,IFERROR(K435,0),0))</f>
        <v/>
      </c>
      <c r="S435" s="16">
        <f>IF(A435="","",IF(M435=TRUE,IFERROR(L435,0),0))</f>
        <v/>
      </c>
      <c r="T435" s="16">
        <f>IF(A435="","",IF(M435=TRUE,IFERROR(H435,0)+IFERROR(I435,0)+IFERROR(L435,0),0))</f>
        <v/>
      </c>
    </row>
    <row r="436">
      <c r="A436" s="10" t="n"/>
      <c r="B436" s="10" t="n"/>
      <c r="C436" s="11" t="n"/>
      <c r="D436" s="11" t="n"/>
      <c r="E436" s="10" t="n"/>
      <c r="F436" s="10" t="n"/>
      <c r="G436" s="12" t="n"/>
      <c r="H436" s="13" t="n"/>
      <c r="I436" s="13" t="n"/>
      <c r="J436" s="13" t="n"/>
      <c r="K436" s="13" t="n"/>
      <c r="L436" s="13" t="n"/>
      <c r="M436" s="17">
        <f>IF(A436="","",IFERROR(VLOOKUP(A436,Raw_CurrentMonth!A:O,15,FALSE)=TRUE,FALSE))</f>
        <v/>
      </c>
      <c r="N436" s="16">
        <f>IF(A436="","",IF(M436=TRUE,IFERROR(H436,0)+IFERROR(I436,0)+IFERROR(J436,0)+IFERROR(K436,0)+IFERROR(L436,0),0))</f>
        <v/>
      </c>
      <c r="O436" s="16">
        <f>IF(A436="","",IF(M436=TRUE,IFERROR(H436,0),0))</f>
        <v/>
      </c>
      <c r="P436" s="16">
        <f>IF(A436="","",IF(M436=TRUE,IFERROR(I436,0),0))</f>
        <v/>
      </c>
      <c r="Q436" s="16">
        <f>IF(A436="","",IF(M436=TRUE,IFERROR(J436,0),0))</f>
        <v/>
      </c>
      <c r="R436" s="16">
        <f>IF(A436="","",IF(M436=TRUE,IFERROR(K436,0),0))</f>
        <v/>
      </c>
      <c r="S436" s="16">
        <f>IF(A436="","",IF(M436=TRUE,IFERROR(L436,0),0))</f>
        <v/>
      </c>
      <c r="T436" s="16">
        <f>IF(A436="","",IF(M436=TRUE,IFERROR(H436,0)+IFERROR(I436,0)+IFERROR(L436,0),0))</f>
        <v/>
      </c>
    </row>
    <row r="437">
      <c r="A437" s="10" t="n"/>
      <c r="B437" s="10" t="n"/>
      <c r="C437" s="11" t="n"/>
      <c r="D437" s="11" t="n"/>
      <c r="E437" s="10" t="n"/>
      <c r="F437" s="10" t="n"/>
      <c r="G437" s="12" t="n"/>
      <c r="H437" s="13" t="n"/>
      <c r="I437" s="13" t="n"/>
      <c r="J437" s="13" t="n"/>
      <c r="K437" s="13" t="n"/>
      <c r="L437" s="13" t="n"/>
      <c r="M437" s="17">
        <f>IF(A437="","",IFERROR(VLOOKUP(A437,Raw_CurrentMonth!A:O,15,FALSE)=TRUE,FALSE))</f>
        <v/>
      </c>
      <c r="N437" s="16">
        <f>IF(A437="","",IF(M437=TRUE,IFERROR(H437,0)+IFERROR(I437,0)+IFERROR(J437,0)+IFERROR(K437,0)+IFERROR(L437,0),0))</f>
        <v/>
      </c>
      <c r="O437" s="16">
        <f>IF(A437="","",IF(M437=TRUE,IFERROR(H437,0),0))</f>
        <v/>
      </c>
      <c r="P437" s="16">
        <f>IF(A437="","",IF(M437=TRUE,IFERROR(I437,0),0))</f>
        <v/>
      </c>
      <c r="Q437" s="16">
        <f>IF(A437="","",IF(M437=TRUE,IFERROR(J437,0),0))</f>
        <v/>
      </c>
      <c r="R437" s="16">
        <f>IF(A437="","",IF(M437=TRUE,IFERROR(K437,0),0))</f>
        <v/>
      </c>
      <c r="S437" s="16">
        <f>IF(A437="","",IF(M437=TRUE,IFERROR(L437,0),0))</f>
        <v/>
      </c>
      <c r="T437" s="16">
        <f>IF(A437="","",IF(M437=TRUE,IFERROR(H437,0)+IFERROR(I437,0)+IFERROR(L437,0),0))</f>
        <v/>
      </c>
    </row>
    <row r="438">
      <c r="A438" s="10" t="n"/>
      <c r="B438" s="10" t="n"/>
      <c r="C438" s="11" t="n"/>
      <c r="D438" s="11" t="n"/>
      <c r="E438" s="10" t="n"/>
      <c r="F438" s="10" t="n"/>
      <c r="G438" s="12" t="n"/>
      <c r="H438" s="13" t="n"/>
      <c r="I438" s="13" t="n"/>
      <c r="J438" s="13" t="n"/>
      <c r="K438" s="13" t="n"/>
      <c r="L438" s="13" t="n"/>
      <c r="M438" s="17">
        <f>IF(A438="","",IFERROR(VLOOKUP(A438,Raw_CurrentMonth!A:O,15,FALSE)=TRUE,FALSE))</f>
        <v/>
      </c>
      <c r="N438" s="16">
        <f>IF(A438="","",IF(M438=TRUE,IFERROR(H438,0)+IFERROR(I438,0)+IFERROR(J438,0)+IFERROR(K438,0)+IFERROR(L438,0),0))</f>
        <v/>
      </c>
      <c r="O438" s="16">
        <f>IF(A438="","",IF(M438=TRUE,IFERROR(H438,0),0))</f>
        <v/>
      </c>
      <c r="P438" s="16">
        <f>IF(A438="","",IF(M438=TRUE,IFERROR(I438,0),0))</f>
        <v/>
      </c>
      <c r="Q438" s="16">
        <f>IF(A438="","",IF(M438=TRUE,IFERROR(J438,0),0))</f>
        <v/>
      </c>
      <c r="R438" s="16">
        <f>IF(A438="","",IF(M438=TRUE,IFERROR(K438,0),0))</f>
        <v/>
      </c>
      <c r="S438" s="16">
        <f>IF(A438="","",IF(M438=TRUE,IFERROR(L438,0),0))</f>
        <v/>
      </c>
      <c r="T438" s="16">
        <f>IF(A438="","",IF(M438=TRUE,IFERROR(H438,0)+IFERROR(I438,0)+IFERROR(L438,0),0))</f>
        <v/>
      </c>
    </row>
    <row r="439">
      <c r="A439" s="10" t="n"/>
      <c r="B439" s="10" t="n"/>
      <c r="C439" s="11" t="n"/>
      <c r="D439" s="11" t="n"/>
      <c r="E439" s="10" t="n"/>
      <c r="F439" s="10" t="n"/>
      <c r="G439" s="12" t="n"/>
      <c r="H439" s="13" t="n"/>
      <c r="I439" s="13" t="n"/>
      <c r="J439" s="13" t="n"/>
      <c r="K439" s="13" t="n"/>
      <c r="L439" s="13" t="n"/>
      <c r="M439" s="17">
        <f>IF(A439="","",IFERROR(VLOOKUP(A439,Raw_CurrentMonth!A:O,15,FALSE)=TRUE,FALSE))</f>
        <v/>
      </c>
      <c r="N439" s="16">
        <f>IF(A439="","",IF(M439=TRUE,IFERROR(H439,0)+IFERROR(I439,0)+IFERROR(J439,0)+IFERROR(K439,0)+IFERROR(L439,0),0))</f>
        <v/>
      </c>
      <c r="O439" s="16">
        <f>IF(A439="","",IF(M439=TRUE,IFERROR(H439,0),0))</f>
        <v/>
      </c>
      <c r="P439" s="16">
        <f>IF(A439="","",IF(M439=TRUE,IFERROR(I439,0),0))</f>
        <v/>
      </c>
      <c r="Q439" s="16">
        <f>IF(A439="","",IF(M439=TRUE,IFERROR(J439,0),0))</f>
        <v/>
      </c>
      <c r="R439" s="16">
        <f>IF(A439="","",IF(M439=TRUE,IFERROR(K439,0),0))</f>
        <v/>
      </c>
      <c r="S439" s="16">
        <f>IF(A439="","",IF(M439=TRUE,IFERROR(L439,0),0))</f>
        <v/>
      </c>
      <c r="T439" s="16">
        <f>IF(A439="","",IF(M439=TRUE,IFERROR(H439,0)+IFERROR(I439,0)+IFERROR(L439,0),0))</f>
        <v/>
      </c>
    </row>
    <row r="440">
      <c r="A440" s="10" t="n"/>
      <c r="B440" s="10" t="n"/>
      <c r="C440" s="11" t="n"/>
      <c r="D440" s="11" t="n"/>
      <c r="E440" s="10" t="n"/>
      <c r="F440" s="10" t="n"/>
      <c r="G440" s="12" t="n"/>
      <c r="H440" s="13" t="n"/>
      <c r="I440" s="13" t="n"/>
      <c r="J440" s="13" t="n"/>
      <c r="K440" s="13" t="n"/>
      <c r="L440" s="13" t="n"/>
      <c r="M440" s="17">
        <f>IF(A440="","",IFERROR(VLOOKUP(A440,Raw_CurrentMonth!A:O,15,FALSE)=TRUE,FALSE))</f>
        <v/>
      </c>
      <c r="N440" s="16">
        <f>IF(A440="","",IF(M440=TRUE,IFERROR(H440,0)+IFERROR(I440,0)+IFERROR(J440,0)+IFERROR(K440,0)+IFERROR(L440,0),0))</f>
        <v/>
      </c>
      <c r="O440" s="16">
        <f>IF(A440="","",IF(M440=TRUE,IFERROR(H440,0),0))</f>
        <v/>
      </c>
      <c r="P440" s="16">
        <f>IF(A440="","",IF(M440=TRUE,IFERROR(I440,0),0))</f>
        <v/>
      </c>
      <c r="Q440" s="16">
        <f>IF(A440="","",IF(M440=TRUE,IFERROR(J440,0),0))</f>
        <v/>
      </c>
      <c r="R440" s="16">
        <f>IF(A440="","",IF(M440=TRUE,IFERROR(K440,0),0))</f>
        <v/>
      </c>
      <c r="S440" s="16">
        <f>IF(A440="","",IF(M440=TRUE,IFERROR(L440,0),0))</f>
        <v/>
      </c>
      <c r="T440" s="16">
        <f>IF(A440="","",IF(M440=TRUE,IFERROR(H440,0)+IFERROR(I440,0)+IFERROR(L440,0),0))</f>
        <v/>
      </c>
    </row>
    <row r="441">
      <c r="A441" s="10" t="n"/>
      <c r="B441" s="10" t="n"/>
      <c r="C441" s="11" t="n"/>
      <c r="D441" s="11" t="n"/>
      <c r="E441" s="10" t="n"/>
      <c r="F441" s="10" t="n"/>
      <c r="G441" s="12" t="n"/>
      <c r="H441" s="13" t="n"/>
      <c r="I441" s="13" t="n"/>
      <c r="J441" s="13" t="n"/>
      <c r="K441" s="13" t="n"/>
      <c r="L441" s="13" t="n"/>
      <c r="M441" s="17">
        <f>IF(A441="","",IFERROR(VLOOKUP(A441,Raw_CurrentMonth!A:O,15,FALSE)=TRUE,FALSE))</f>
        <v/>
      </c>
      <c r="N441" s="16">
        <f>IF(A441="","",IF(M441=TRUE,IFERROR(H441,0)+IFERROR(I441,0)+IFERROR(J441,0)+IFERROR(K441,0)+IFERROR(L441,0),0))</f>
        <v/>
      </c>
      <c r="O441" s="16">
        <f>IF(A441="","",IF(M441=TRUE,IFERROR(H441,0),0))</f>
        <v/>
      </c>
      <c r="P441" s="16">
        <f>IF(A441="","",IF(M441=TRUE,IFERROR(I441,0),0))</f>
        <v/>
      </c>
      <c r="Q441" s="16">
        <f>IF(A441="","",IF(M441=TRUE,IFERROR(J441,0),0))</f>
        <v/>
      </c>
      <c r="R441" s="16">
        <f>IF(A441="","",IF(M441=TRUE,IFERROR(K441,0),0))</f>
        <v/>
      </c>
      <c r="S441" s="16">
        <f>IF(A441="","",IF(M441=TRUE,IFERROR(L441,0),0))</f>
        <v/>
      </c>
      <c r="T441" s="16">
        <f>IF(A441="","",IF(M441=TRUE,IFERROR(H441,0)+IFERROR(I441,0)+IFERROR(L441,0),0))</f>
        <v/>
      </c>
    </row>
    <row r="442">
      <c r="A442" s="10" t="n"/>
      <c r="B442" s="10" t="n"/>
      <c r="C442" s="11" t="n"/>
      <c r="D442" s="11" t="n"/>
      <c r="E442" s="10" t="n"/>
      <c r="F442" s="10" t="n"/>
      <c r="G442" s="12" t="n"/>
      <c r="H442" s="13" t="n"/>
      <c r="I442" s="13" t="n"/>
      <c r="J442" s="13" t="n"/>
      <c r="K442" s="13" t="n"/>
      <c r="L442" s="13" t="n"/>
      <c r="M442" s="17">
        <f>IF(A442="","",IFERROR(VLOOKUP(A442,Raw_CurrentMonth!A:O,15,FALSE)=TRUE,FALSE))</f>
        <v/>
      </c>
      <c r="N442" s="16">
        <f>IF(A442="","",IF(M442=TRUE,IFERROR(H442,0)+IFERROR(I442,0)+IFERROR(J442,0)+IFERROR(K442,0)+IFERROR(L442,0),0))</f>
        <v/>
      </c>
      <c r="O442" s="16">
        <f>IF(A442="","",IF(M442=TRUE,IFERROR(H442,0),0))</f>
        <v/>
      </c>
      <c r="P442" s="16">
        <f>IF(A442="","",IF(M442=TRUE,IFERROR(I442,0),0))</f>
        <v/>
      </c>
      <c r="Q442" s="16">
        <f>IF(A442="","",IF(M442=TRUE,IFERROR(J442,0),0))</f>
        <v/>
      </c>
      <c r="R442" s="16">
        <f>IF(A442="","",IF(M442=TRUE,IFERROR(K442,0),0))</f>
        <v/>
      </c>
      <c r="S442" s="16">
        <f>IF(A442="","",IF(M442=TRUE,IFERROR(L442,0),0))</f>
        <v/>
      </c>
      <c r="T442" s="16">
        <f>IF(A442="","",IF(M442=TRUE,IFERROR(H442,0)+IFERROR(I442,0)+IFERROR(L442,0),0))</f>
        <v/>
      </c>
    </row>
    <row r="443">
      <c r="A443" s="10" t="n"/>
      <c r="B443" s="10" t="n"/>
      <c r="C443" s="11" t="n"/>
      <c r="D443" s="11" t="n"/>
      <c r="E443" s="10" t="n"/>
      <c r="F443" s="10" t="n"/>
      <c r="G443" s="12" t="n"/>
      <c r="H443" s="13" t="n"/>
      <c r="I443" s="13" t="n"/>
      <c r="J443" s="13" t="n"/>
      <c r="K443" s="13" t="n"/>
      <c r="L443" s="13" t="n"/>
      <c r="M443" s="17">
        <f>IF(A443="","",IFERROR(VLOOKUP(A443,Raw_CurrentMonth!A:O,15,FALSE)=TRUE,FALSE))</f>
        <v/>
      </c>
      <c r="N443" s="16">
        <f>IF(A443="","",IF(M443=TRUE,IFERROR(H443,0)+IFERROR(I443,0)+IFERROR(J443,0)+IFERROR(K443,0)+IFERROR(L443,0),0))</f>
        <v/>
      </c>
      <c r="O443" s="16">
        <f>IF(A443="","",IF(M443=TRUE,IFERROR(H443,0),0))</f>
        <v/>
      </c>
      <c r="P443" s="16">
        <f>IF(A443="","",IF(M443=TRUE,IFERROR(I443,0),0))</f>
        <v/>
      </c>
      <c r="Q443" s="16">
        <f>IF(A443="","",IF(M443=TRUE,IFERROR(J443,0),0))</f>
        <v/>
      </c>
      <c r="R443" s="16">
        <f>IF(A443="","",IF(M443=TRUE,IFERROR(K443,0),0))</f>
        <v/>
      </c>
      <c r="S443" s="16">
        <f>IF(A443="","",IF(M443=TRUE,IFERROR(L443,0),0))</f>
        <v/>
      </c>
      <c r="T443" s="16">
        <f>IF(A443="","",IF(M443=TRUE,IFERROR(H443,0)+IFERROR(I443,0)+IFERROR(L443,0),0))</f>
        <v/>
      </c>
    </row>
    <row r="444">
      <c r="A444" s="10" t="n"/>
      <c r="B444" s="10" t="n"/>
      <c r="C444" s="11" t="n"/>
      <c r="D444" s="11" t="n"/>
      <c r="E444" s="10" t="n"/>
      <c r="F444" s="10" t="n"/>
      <c r="G444" s="12" t="n"/>
      <c r="H444" s="13" t="n"/>
      <c r="I444" s="13" t="n"/>
      <c r="J444" s="13" t="n"/>
      <c r="K444" s="13" t="n"/>
      <c r="L444" s="13" t="n"/>
      <c r="M444" s="17">
        <f>IF(A444="","",IFERROR(VLOOKUP(A444,Raw_CurrentMonth!A:O,15,FALSE)=TRUE,FALSE))</f>
        <v/>
      </c>
      <c r="N444" s="16">
        <f>IF(A444="","",IF(M444=TRUE,IFERROR(H444,0)+IFERROR(I444,0)+IFERROR(J444,0)+IFERROR(K444,0)+IFERROR(L444,0),0))</f>
        <v/>
      </c>
      <c r="O444" s="16">
        <f>IF(A444="","",IF(M444=TRUE,IFERROR(H444,0),0))</f>
        <v/>
      </c>
      <c r="P444" s="16">
        <f>IF(A444="","",IF(M444=TRUE,IFERROR(I444,0),0))</f>
        <v/>
      </c>
      <c r="Q444" s="16">
        <f>IF(A444="","",IF(M444=TRUE,IFERROR(J444,0),0))</f>
        <v/>
      </c>
      <c r="R444" s="16">
        <f>IF(A444="","",IF(M444=TRUE,IFERROR(K444,0),0))</f>
        <v/>
      </c>
      <c r="S444" s="16">
        <f>IF(A444="","",IF(M444=TRUE,IFERROR(L444,0),0))</f>
        <v/>
      </c>
      <c r="T444" s="16">
        <f>IF(A444="","",IF(M444=TRUE,IFERROR(H444,0)+IFERROR(I444,0)+IFERROR(L444,0),0))</f>
        <v/>
      </c>
    </row>
    <row r="445">
      <c r="A445" s="10" t="n"/>
      <c r="B445" s="10" t="n"/>
      <c r="C445" s="11" t="n"/>
      <c r="D445" s="11" t="n"/>
      <c r="E445" s="10" t="n"/>
      <c r="F445" s="10" t="n"/>
      <c r="G445" s="12" t="n"/>
      <c r="H445" s="13" t="n"/>
      <c r="I445" s="13" t="n"/>
      <c r="J445" s="13" t="n"/>
      <c r="K445" s="13" t="n"/>
      <c r="L445" s="13" t="n"/>
      <c r="M445" s="17">
        <f>IF(A445="","",IFERROR(VLOOKUP(A445,Raw_CurrentMonth!A:O,15,FALSE)=TRUE,FALSE))</f>
        <v/>
      </c>
      <c r="N445" s="16">
        <f>IF(A445="","",IF(M445=TRUE,IFERROR(H445,0)+IFERROR(I445,0)+IFERROR(J445,0)+IFERROR(K445,0)+IFERROR(L445,0),0))</f>
        <v/>
      </c>
      <c r="O445" s="16">
        <f>IF(A445="","",IF(M445=TRUE,IFERROR(H445,0),0))</f>
        <v/>
      </c>
      <c r="P445" s="16">
        <f>IF(A445="","",IF(M445=TRUE,IFERROR(I445,0),0))</f>
        <v/>
      </c>
      <c r="Q445" s="16">
        <f>IF(A445="","",IF(M445=TRUE,IFERROR(J445,0),0))</f>
        <v/>
      </c>
      <c r="R445" s="16">
        <f>IF(A445="","",IF(M445=TRUE,IFERROR(K445,0),0))</f>
        <v/>
      </c>
      <c r="S445" s="16">
        <f>IF(A445="","",IF(M445=TRUE,IFERROR(L445,0),0))</f>
        <v/>
      </c>
      <c r="T445" s="16">
        <f>IF(A445="","",IF(M445=TRUE,IFERROR(H445,0)+IFERROR(I445,0)+IFERROR(L445,0),0))</f>
        <v/>
      </c>
    </row>
    <row r="446">
      <c r="A446" s="10" t="n"/>
      <c r="B446" s="10" t="n"/>
      <c r="C446" s="11" t="n"/>
      <c r="D446" s="11" t="n"/>
      <c r="E446" s="10" t="n"/>
      <c r="F446" s="10" t="n"/>
      <c r="G446" s="12" t="n"/>
      <c r="H446" s="13" t="n"/>
      <c r="I446" s="13" t="n"/>
      <c r="J446" s="13" t="n"/>
      <c r="K446" s="13" t="n"/>
      <c r="L446" s="13" t="n"/>
      <c r="M446" s="17">
        <f>IF(A446="","",IFERROR(VLOOKUP(A446,Raw_CurrentMonth!A:O,15,FALSE)=TRUE,FALSE))</f>
        <v/>
      </c>
      <c r="N446" s="16">
        <f>IF(A446="","",IF(M446=TRUE,IFERROR(H446,0)+IFERROR(I446,0)+IFERROR(J446,0)+IFERROR(K446,0)+IFERROR(L446,0),0))</f>
        <v/>
      </c>
      <c r="O446" s="16">
        <f>IF(A446="","",IF(M446=TRUE,IFERROR(H446,0),0))</f>
        <v/>
      </c>
      <c r="P446" s="16">
        <f>IF(A446="","",IF(M446=TRUE,IFERROR(I446,0),0))</f>
        <v/>
      </c>
      <c r="Q446" s="16">
        <f>IF(A446="","",IF(M446=TRUE,IFERROR(J446,0),0))</f>
        <v/>
      </c>
      <c r="R446" s="16">
        <f>IF(A446="","",IF(M446=TRUE,IFERROR(K446,0),0))</f>
        <v/>
      </c>
      <c r="S446" s="16">
        <f>IF(A446="","",IF(M446=TRUE,IFERROR(L446,0),0))</f>
        <v/>
      </c>
      <c r="T446" s="16">
        <f>IF(A446="","",IF(M446=TRUE,IFERROR(H446,0)+IFERROR(I446,0)+IFERROR(L446,0),0))</f>
        <v/>
      </c>
    </row>
    <row r="447">
      <c r="A447" s="10" t="n"/>
      <c r="B447" s="10" t="n"/>
      <c r="C447" s="11" t="n"/>
      <c r="D447" s="11" t="n"/>
      <c r="E447" s="10" t="n"/>
      <c r="F447" s="10" t="n"/>
      <c r="G447" s="12" t="n"/>
      <c r="H447" s="13" t="n"/>
      <c r="I447" s="13" t="n"/>
      <c r="J447" s="13" t="n"/>
      <c r="K447" s="13" t="n"/>
      <c r="L447" s="13" t="n"/>
      <c r="M447" s="17">
        <f>IF(A447="","",IFERROR(VLOOKUP(A447,Raw_CurrentMonth!A:O,15,FALSE)=TRUE,FALSE))</f>
        <v/>
      </c>
      <c r="N447" s="16">
        <f>IF(A447="","",IF(M447=TRUE,IFERROR(H447,0)+IFERROR(I447,0)+IFERROR(J447,0)+IFERROR(K447,0)+IFERROR(L447,0),0))</f>
        <v/>
      </c>
      <c r="O447" s="16">
        <f>IF(A447="","",IF(M447=TRUE,IFERROR(H447,0),0))</f>
        <v/>
      </c>
      <c r="P447" s="16">
        <f>IF(A447="","",IF(M447=TRUE,IFERROR(I447,0),0))</f>
        <v/>
      </c>
      <c r="Q447" s="16">
        <f>IF(A447="","",IF(M447=TRUE,IFERROR(J447,0),0))</f>
        <v/>
      </c>
      <c r="R447" s="16">
        <f>IF(A447="","",IF(M447=TRUE,IFERROR(K447,0),0))</f>
        <v/>
      </c>
      <c r="S447" s="16">
        <f>IF(A447="","",IF(M447=TRUE,IFERROR(L447,0),0))</f>
        <v/>
      </c>
      <c r="T447" s="16">
        <f>IF(A447="","",IF(M447=TRUE,IFERROR(H447,0)+IFERROR(I447,0)+IFERROR(L447,0),0))</f>
        <v/>
      </c>
    </row>
    <row r="448">
      <c r="A448" s="10" t="n"/>
      <c r="B448" s="10" t="n"/>
      <c r="C448" s="11" t="n"/>
      <c r="D448" s="11" t="n"/>
      <c r="E448" s="10" t="n"/>
      <c r="F448" s="10" t="n"/>
      <c r="G448" s="12" t="n"/>
      <c r="H448" s="13" t="n"/>
      <c r="I448" s="13" t="n"/>
      <c r="J448" s="13" t="n"/>
      <c r="K448" s="13" t="n"/>
      <c r="L448" s="13" t="n"/>
      <c r="M448" s="17">
        <f>IF(A448="","",IFERROR(VLOOKUP(A448,Raw_CurrentMonth!A:O,15,FALSE)=TRUE,FALSE))</f>
        <v/>
      </c>
      <c r="N448" s="16">
        <f>IF(A448="","",IF(M448=TRUE,IFERROR(H448,0)+IFERROR(I448,0)+IFERROR(J448,0)+IFERROR(K448,0)+IFERROR(L448,0),0))</f>
        <v/>
      </c>
      <c r="O448" s="16">
        <f>IF(A448="","",IF(M448=TRUE,IFERROR(H448,0),0))</f>
        <v/>
      </c>
      <c r="P448" s="16">
        <f>IF(A448="","",IF(M448=TRUE,IFERROR(I448,0),0))</f>
        <v/>
      </c>
      <c r="Q448" s="16">
        <f>IF(A448="","",IF(M448=TRUE,IFERROR(J448,0),0))</f>
        <v/>
      </c>
      <c r="R448" s="16">
        <f>IF(A448="","",IF(M448=TRUE,IFERROR(K448,0),0))</f>
        <v/>
      </c>
      <c r="S448" s="16">
        <f>IF(A448="","",IF(M448=TRUE,IFERROR(L448,0),0))</f>
        <v/>
      </c>
      <c r="T448" s="16">
        <f>IF(A448="","",IF(M448=TRUE,IFERROR(H448,0)+IFERROR(I448,0)+IFERROR(L448,0),0))</f>
        <v/>
      </c>
    </row>
    <row r="449">
      <c r="A449" s="10" t="n"/>
      <c r="B449" s="10" t="n"/>
      <c r="C449" s="11" t="n"/>
      <c r="D449" s="11" t="n"/>
      <c r="E449" s="10" t="n"/>
      <c r="F449" s="10" t="n"/>
      <c r="G449" s="12" t="n"/>
      <c r="H449" s="13" t="n"/>
      <c r="I449" s="13" t="n"/>
      <c r="J449" s="13" t="n"/>
      <c r="K449" s="13" t="n"/>
      <c r="L449" s="13" t="n"/>
      <c r="M449" s="17">
        <f>IF(A449="","",IFERROR(VLOOKUP(A449,Raw_CurrentMonth!A:O,15,FALSE)=TRUE,FALSE))</f>
        <v/>
      </c>
      <c r="N449" s="16">
        <f>IF(A449="","",IF(M449=TRUE,IFERROR(H449,0)+IFERROR(I449,0)+IFERROR(J449,0)+IFERROR(K449,0)+IFERROR(L449,0),0))</f>
        <v/>
      </c>
      <c r="O449" s="16">
        <f>IF(A449="","",IF(M449=TRUE,IFERROR(H449,0),0))</f>
        <v/>
      </c>
      <c r="P449" s="16">
        <f>IF(A449="","",IF(M449=TRUE,IFERROR(I449,0),0))</f>
        <v/>
      </c>
      <c r="Q449" s="16">
        <f>IF(A449="","",IF(M449=TRUE,IFERROR(J449,0),0))</f>
        <v/>
      </c>
      <c r="R449" s="16">
        <f>IF(A449="","",IF(M449=TRUE,IFERROR(K449,0),0))</f>
        <v/>
      </c>
      <c r="S449" s="16">
        <f>IF(A449="","",IF(M449=TRUE,IFERROR(L449,0),0))</f>
        <v/>
      </c>
      <c r="T449" s="16">
        <f>IF(A449="","",IF(M449=TRUE,IFERROR(H449,0)+IFERROR(I449,0)+IFERROR(L449,0),0))</f>
        <v/>
      </c>
    </row>
    <row r="450">
      <c r="A450" s="10" t="n"/>
      <c r="B450" s="10" t="n"/>
      <c r="C450" s="11" t="n"/>
      <c r="D450" s="11" t="n"/>
      <c r="E450" s="10" t="n"/>
      <c r="F450" s="10" t="n"/>
      <c r="G450" s="12" t="n"/>
      <c r="H450" s="13" t="n"/>
      <c r="I450" s="13" t="n"/>
      <c r="J450" s="13" t="n"/>
      <c r="K450" s="13" t="n"/>
      <c r="L450" s="13" t="n"/>
      <c r="M450" s="17">
        <f>IF(A450="","",IFERROR(VLOOKUP(A450,Raw_CurrentMonth!A:O,15,FALSE)=TRUE,FALSE))</f>
        <v/>
      </c>
      <c r="N450" s="16">
        <f>IF(A450="","",IF(M450=TRUE,IFERROR(H450,0)+IFERROR(I450,0)+IFERROR(J450,0)+IFERROR(K450,0)+IFERROR(L450,0),0))</f>
        <v/>
      </c>
      <c r="O450" s="16">
        <f>IF(A450="","",IF(M450=TRUE,IFERROR(H450,0),0))</f>
        <v/>
      </c>
      <c r="P450" s="16">
        <f>IF(A450="","",IF(M450=TRUE,IFERROR(I450,0),0))</f>
        <v/>
      </c>
      <c r="Q450" s="16">
        <f>IF(A450="","",IF(M450=TRUE,IFERROR(J450,0),0))</f>
        <v/>
      </c>
      <c r="R450" s="16">
        <f>IF(A450="","",IF(M450=TRUE,IFERROR(K450,0),0))</f>
        <v/>
      </c>
      <c r="S450" s="16">
        <f>IF(A450="","",IF(M450=TRUE,IFERROR(L450,0),0))</f>
        <v/>
      </c>
      <c r="T450" s="16">
        <f>IF(A450="","",IF(M450=TRUE,IFERROR(H450,0)+IFERROR(I450,0)+IFERROR(L450,0),0))</f>
        <v/>
      </c>
    </row>
    <row r="451">
      <c r="A451" s="10" t="n"/>
      <c r="B451" s="10" t="n"/>
      <c r="C451" s="11" t="n"/>
      <c r="D451" s="11" t="n"/>
      <c r="E451" s="10" t="n"/>
      <c r="F451" s="10" t="n"/>
      <c r="G451" s="12" t="n"/>
      <c r="H451" s="13" t="n"/>
      <c r="I451" s="13" t="n"/>
      <c r="J451" s="13" t="n"/>
      <c r="K451" s="13" t="n"/>
      <c r="L451" s="13" t="n"/>
      <c r="M451" s="17">
        <f>IF(A451="","",IFERROR(VLOOKUP(A451,Raw_CurrentMonth!A:O,15,FALSE)=TRUE,FALSE))</f>
        <v/>
      </c>
      <c r="N451" s="16">
        <f>IF(A451="","",IF(M451=TRUE,IFERROR(H451,0)+IFERROR(I451,0)+IFERROR(J451,0)+IFERROR(K451,0)+IFERROR(L451,0),0))</f>
        <v/>
      </c>
      <c r="O451" s="16">
        <f>IF(A451="","",IF(M451=TRUE,IFERROR(H451,0),0))</f>
        <v/>
      </c>
      <c r="P451" s="16">
        <f>IF(A451="","",IF(M451=TRUE,IFERROR(I451,0),0))</f>
        <v/>
      </c>
      <c r="Q451" s="16">
        <f>IF(A451="","",IF(M451=TRUE,IFERROR(J451,0),0))</f>
        <v/>
      </c>
      <c r="R451" s="16">
        <f>IF(A451="","",IF(M451=TRUE,IFERROR(K451,0),0))</f>
        <v/>
      </c>
      <c r="S451" s="16">
        <f>IF(A451="","",IF(M451=TRUE,IFERROR(L451,0),0))</f>
        <v/>
      </c>
      <c r="T451" s="16">
        <f>IF(A451="","",IF(M451=TRUE,IFERROR(H451,0)+IFERROR(I451,0)+IFERROR(L451,0),0))</f>
        <v/>
      </c>
    </row>
    <row r="452">
      <c r="A452" s="10" t="n"/>
      <c r="B452" s="10" t="n"/>
      <c r="C452" s="11" t="n"/>
      <c r="D452" s="11" t="n"/>
      <c r="E452" s="10" t="n"/>
      <c r="F452" s="10" t="n"/>
      <c r="G452" s="12" t="n"/>
      <c r="H452" s="13" t="n"/>
      <c r="I452" s="13" t="n"/>
      <c r="J452" s="13" t="n"/>
      <c r="K452" s="13" t="n"/>
      <c r="L452" s="13" t="n"/>
      <c r="M452" s="17">
        <f>IF(A452="","",IFERROR(VLOOKUP(A452,Raw_CurrentMonth!A:O,15,FALSE)=TRUE,FALSE))</f>
        <v/>
      </c>
      <c r="N452" s="16">
        <f>IF(A452="","",IF(M452=TRUE,IFERROR(H452,0)+IFERROR(I452,0)+IFERROR(J452,0)+IFERROR(K452,0)+IFERROR(L452,0),0))</f>
        <v/>
      </c>
      <c r="O452" s="16">
        <f>IF(A452="","",IF(M452=TRUE,IFERROR(H452,0),0))</f>
        <v/>
      </c>
      <c r="P452" s="16">
        <f>IF(A452="","",IF(M452=TRUE,IFERROR(I452,0),0))</f>
        <v/>
      </c>
      <c r="Q452" s="16">
        <f>IF(A452="","",IF(M452=TRUE,IFERROR(J452,0),0))</f>
        <v/>
      </c>
      <c r="R452" s="16">
        <f>IF(A452="","",IF(M452=TRUE,IFERROR(K452,0),0))</f>
        <v/>
      </c>
      <c r="S452" s="16">
        <f>IF(A452="","",IF(M452=TRUE,IFERROR(L452,0),0))</f>
        <v/>
      </c>
      <c r="T452" s="16">
        <f>IF(A452="","",IF(M452=TRUE,IFERROR(H452,0)+IFERROR(I452,0)+IFERROR(L452,0),0))</f>
        <v/>
      </c>
    </row>
    <row r="453">
      <c r="A453" s="10" t="n"/>
      <c r="B453" s="10" t="n"/>
      <c r="C453" s="11" t="n"/>
      <c r="D453" s="11" t="n"/>
      <c r="E453" s="10" t="n"/>
      <c r="F453" s="10" t="n"/>
      <c r="G453" s="12" t="n"/>
      <c r="H453" s="13" t="n"/>
      <c r="I453" s="13" t="n"/>
      <c r="J453" s="13" t="n"/>
      <c r="K453" s="13" t="n"/>
      <c r="L453" s="13" t="n"/>
      <c r="M453" s="17">
        <f>IF(A453="","",IFERROR(VLOOKUP(A453,Raw_CurrentMonth!A:O,15,FALSE)=TRUE,FALSE))</f>
        <v/>
      </c>
      <c r="N453" s="16">
        <f>IF(A453="","",IF(M453=TRUE,IFERROR(H453,0)+IFERROR(I453,0)+IFERROR(J453,0)+IFERROR(K453,0)+IFERROR(L453,0),0))</f>
        <v/>
      </c>
      <c r="O453" s="16">
        <f>IF(A453="","",IF(M453=TRUE,IFERROR(H453,0),0))</f>
        <v/>
      </c>
      <c r="P453" s="16">
        <f>IF(A453="","",IF(M453=TRUE,IFERROR(I453,0),0))</f>
        <v/>
      </c>
      <c r="Q453" s="16">
        <f>IF(A453="","",IF(M453=TRUE,IFERROR(J453,0),0))</f>
        <v/>
      </c>
      <c r="R453" s="16">
        <f>IF(A453="","",IF(M453=TRUE,IFERROR(K453,0),0))</f>
        <v/>
      </c>
      <c r="S453" s="16">
        <f>IF(A453="","",IF(M453=TRUE,IFERROR(L453,0),0))</f>
        <v/>
      </c>
      <c r="T453" s="16">
        <f>IF(A453="","",IF(M453=TRUE,IFERROR(H453,0)+IFERROR(I453,0)+IFERROR(L453,0),0))</f>
        <v/>
      </c>
    </row>
    <row r="454">
      <c r="A454" s="10" t="n"/>
      <c r="B454" s="10" t="n"/>
      <c r="C454" s="11" t="n"/>
      <c r="D454" s="11" t="n"/>
      <c r="E454" s="10" t="n"/>
      <c r="F454" s="10" t="n"/>
      <c r="G454" s="12" t="n"/>
      <c r="H454" s="13" t="n"/>
      <c r="I454" s="13" t="n"/>
      <c r="J454" s="13" t="n"/>
      <c r="K454" s="13" t="n"/>
      <c r="L454" s="13" t="n"/>
      <c r="M454" s="17">
        <f>IF(A454="","",IFERROR(VLOOKUP(A454,Raw_CurrentMonth!A:O,15,FALSE)=TRUE,FALSE))</f>
        <v/>
      </c>
      <c r="N454" s="16">
        <f>IF(A454="","",IF(M454=TRUE,IFERROR(H454,0)+IFERROR(I454,0)+IFERROR(J454,0)+IFERROR(K454,0)+IFERROR(L454,0),0))</f>
        <v/>
      </c>
      <c r="O454" s="16">
        <f>IF(A454="","",IF(M454=TRUE,IFERROR(H454,0),0))</f>
        <v/>
      </c>
      <c r="P454" s="16">
        <f>IF(A454="","",IF(M454=TRUE,IFERROR(I454,0),0))</f>
        <v/>
      </c>
      <c r="Q454" s="16">
        <f>IF(A454="","",IF(M454=TRUE,IFERROR(J454,0),0))</f>
        <v/>
      </c>
      <c r="R454" s="16">
        <f>IF(A454="","",IF(M454=TRUE,IFERROR(K454,0),0))</f>
        <v/>
      </c>
      <c r="S454" s="16">
        <f>IF(A454="","",IF(M454=TRUE,IFERROR(L454,0),0))</f>
        <v/>
      </c>
      <c r="T454" s="16">
        <f>IF(A454="","",IF(M454=TRUE,IFERROR(H454,0)+IFERROR(I454,0)+IFERROR(L454,0),0))</f>
        <v/>
      </c>
    </row>
    <row r="455">
      <c r="A455" s="10" t="n"/>
      <c r="B455" s="10" t="n"/>
      <c r="C455" s="11" t="n"/>
      <c r="D455" s="11" t="n"/>
      <c r="E455" s="10" t="n"/>
      <c r="F455" s="10" t="n"/>
      <c r="G455" s="12" t="n"/>
      <c r="H455" s="13" t="n"/>
      <c r="I455" s="13" t="n"/>
      <c r="J455" s="13" t="n"/>
      <c r="K455" s="13" t="n"/>
      <c r="L455" s="13" t="n"/>
      <c r="M455" s="17">
        <f>IF(A455="","",IFERROR(VLOOKUP(A455,Raw_CurrentMonth!A:O,15,FALSE)=TRUE,FALSE))</f>
        <v/>
      </c>
      <c r="N455" s="16">
        <f>IF(A455="","",IF(M455=TRUE,IFERROR(H455,0)+IFERROR(I455,0)+IFERROR(J455,0)+IFERROR(K455,0)+IFERROR(L455,0),0))</f>
        <v/>
      </c>
      <c r="O455" s="16">
        <f>IF(A455="","",IF(M455=TRUE,IFERROR(H455,0),0))</f>
        <v/>
      </c>
      <c r="P455" s="16">
        <f>IF(A455="","",IF(M455=TRUE,IFERROR(I455,0),0))</f>
        <v/>
      </c>
      <c r="Q455" s="16">
        <f>IF(A455="","",IF(M455=TRUE,IFERROR(J455,0),0))</f>
        <v/>
      </c>
      <c r="R455" s="16">
        <f>IF(A455="","",IF(M455=TRUE,IFERROR(K455,0),0))</f>
        <v/>
      </c>
      <c r="S455" s="16">
        <f>IF(A455="","",IF(M455=TRUE,IFERROR(L455,0),0))</f>
        <v/>
      </c>
      <c r="T455" s="16">
        <f>IF(A455="","",IF(M455=TRUE,IFERROR(H455,0)+IFERROR(I455,0)+IFERROR(L455,0),0))</f>
        <v/>
      </c>
    </row>
    <row r="456">
      <c r="A456" s="10" t="n"/>
      <c r="B456" s="10" t="n"/>
      <c r="C456" s="11" t="n"/>
      <c r="D456" s="11" t="n"/>
      <c r="E456" s="10" t="n"/>
      <c r="F456" s="10" t="n"/>
      <c r="G456" s="12" t="n"/>
      <c r="H456" s="13" t="n"/>
      <c r="I456" s="13" t="n"/>
      <c r="J456" s="13" t="n"/>
      <c r="K456" s="13" t="n"/>
      <c r="L456" s="13" t="n"/>
      <c r="M456" s="17">
        <f>IF(A456="","",IFERROR(VLOOKUP(A456,Raw_CurrentMonth!A:O,15,FALSE)=TRUE,FALSE))</f>
        <v/>
      </c>
      <c r="N456" s="16">
        <f>IF(A456="","",IF(M456=TRUE,IFERROR(H456,0)+IFERROR(I456,0)+IFERROR(J456,0)+IFERROR(K456,0)+IFERROR(L456,0),0))</f>
        <v/>
      </c>
      <c r="O456" s="16">
        <f>IF(A456="","",IF(M456=TRUE,IFERROR(H456,0),0))</f>
        <v/>
      </c>
      <c r="P456" s="16">
        <f>IF(A456="","",IF(M456=TRUE,IFERROR(I456,0),0))</f>
        <v/>
      </c>
      <c r="Q456" s="16">
        <f>IF(A456="","",IF(M456=TRUE,IFERROR(J456,0),0))</f>
        <v/>
      </c>
      <c r="R456" s="16">
        <f>IF(A456="","",IF(M456=TRUE,IFERROR(K456,0),0))</f>
        <v/>
      </c>
      <c r="S456" s="16">
        <f>IF(A456="","",IF(M456=TRUE,IFERROR(L456,0),0))</f>
        <v/>
      </c>
      <c r="T456" s="16">
        <f>IF(A456="","",IF(M456=TRUE,IFERROR(H456,0)+IFERROR(I456,0)+IFERROR(L456,0),0))</f>
        <v/>
      </c>
    </row>
    <row r="457">
      <c r="A457" s="10" t="n"/>
      <c r="B457" s="10" t="n"/>
      <c r="C457" s="11" t="n"/>
      <c r="D457" s="11" t="n"/>
      <c r="E457" s="10" t="n"/>
      <c r="F457" s="10" t="n"/>
      <c r="G457" s="12" t="n"/>
      <c r="H457" s="13" t="n"/>
      <c r="I457" s="13" t="n"/>
      <c r="J457" s="13" t="n"/>
      <c r="K457" s="13" t="n"/>
      <c r="L457" s="13" t="n"/>
      <c r="M457" s="17">
        <f>IF(A457="","",IFERROR(VLOOKUP(A457,Raw_CurrentMonth!A:O,15,FALSE)=TRUE,FALSE))</f>
        <v/>
      </c>
      <c r="N457" s="16">
        <f>IF(A457="","",IF(M457=TRUE,IFERROR(H457,0)+IFERROR(I457,0)+IFERROR(J457,0)+IFERROR(K457,0)+IFERROR(L457,0),0))</f>
        <v/>
      </c>
      <c r="O457" s="16">
        <f>IF(A457="","",IF(M457=TRUE,IFERROR(H457,0),0))</f>
        <v/>
      </c>
      <c r="P457" s="16">
        <f>IF(A457="","",IF(M457=TRUE,IFERROR(I457,0),0))</f>
        <v/>
      </c>
      <c r="Q457" s="16">
        <f>IF(A457="","",IF(M457=TRUE,IFERROR(J457,0),0))</f>
        <v/>
      </c>
      <c r="R457" s="16">
        <f>IF(A457="","",IF(M457=TRUE,IFERROR(K457,0),0))</f>
        <v/>
      </c>
      <c r="S457" s="16">
        <f>IF(A457="","",IF(M457=TRUE,IFERROR(L457,0),0))</f>
        <v/>
      </c>
      <c r="T457" s="16">
        <f>IF(A457="","",IF(M457=TRUE,IFERROR(H457,0)+IFERROR(I457,0)+IFERROR(L457,0),0))</f>
        <v/>
      </c>
    </row>
    <row r="458">
      <c r="A458" s="10" t="n"/>
      <c r="B458" s="10" t="n"/>
      <c r="C458" s="11" t="n"/>
      <c r="D458" s="11" t="n"/>
      <c r="E458" s="10" t="n"/>
      <c r="F458" s="10" t="n"/>
      <c r="G458" s="12" t="n"/>
      <c r="H458" s="13" t="n"/>
      <c r="I458" s="13" t="n"/>
      <c r="J458" s="13" t="n"/>
      <c r="K458" s="13" t="n"/>
      <c r="L458" s="13" t="n"/>
      <c r="M458" s="17">
        <f>IF(A458="","",IFERROR(VLOOKUP(A458,Raw_CurrentMonth!A:O,15,FALSE)=TRUE,FALSE))</f>
        <v/>
      </c>
      <c r="N458" s="16">
        <f>IF(A458="","",IF(M458=TRUE,IFERROR(H458,0)+IFERROR(I458,0)+IFERROR(J458,0)+IFERROR(K458,0)+IFERROR(L458,0),0))</f>
        <v/>
      </c>
      <c r="O458" s="16">
        <f>IF(A458="","",IF(M458=TRUE,IFERROR(H458,0),0))</f>
        <v/>
      </c>
      <c r="P458" s="16">
        <f>IF(A458="","",IF(M458=TRUE,IFERROR(I458,0),0))</f>
        <v/>
      </c>
      <c r="Q458" s="16">
        <f>IF(A458="","",IF(M458=TRUE,IFERROR(J458,0),0))</f>
        <v/>
      </c>
      <c r="R458" s="16">
        <f>IF(A458="","",IF(M458=TRUE,IFERROR(K458,0),0))</f>
        <v/>
      </c>
      <c r="S458" s="16">
        <f>IF(A458="","",IF(M458=TRUE,IFERROR(L458,0),0))</f>
        <v/>
      </c>
      <c r="T458" s="16">
        <f>IF(A458="","",IF(M458=TRUE,IFERROR(H458,0)+IFERROR(I458,0)+IFERROR(L458,0),0))</f>
        <v/>
      </c>
    </row>
    <row r="459">
      <c r="A459" s="10" t="n"/>
      <c r="B459" s="10" t="n"/>
      <c r="C459" s="11" t="n"/>
      <c r="D459" s="11" t="n"/>
      <c r="E459" s="10" t="n"/>
      <c r="F459" s="10" t="n"/>
      <c r="G459" s="12" t="n"/>
      <c r="H459" s="13" t="n"/>
      <c r="I459" s="13" t="n"/>
      <c r="J459" s="13" t="n"/>
      <c r="K459" s="13" t="n"/>
      <c r="L459" s="13" t="n"/>
      <c r="M459" s="17">
        <f>IF(A459="","",IFERROR(VLOOKUP(A459,Raw_CurrentMonth!A:O,15,FALSE)=TRUE,FALSE))</f>
        <v/>
      </c>
      <c r="N459" s="16">
        <f>IF(A459="","",IF(M459=TRUE,IFERROR(H459,0)+IFERROR(I459,0)+IFERROR(J459,0)+IFERROR(K459,0)+IFERROR(L459,0),0))</f>
        <v/>
      </c>
      <c r="O459" s="16">
        <f>IF(A459="","",IF(M459=TRUE,IFERROR(H459,0),0))</f>
        <v/>
      </c>
      <c r="P459" s="16">
        <f>IF(A459="","",IF(M459=TRUE,IFERROR(I459,0),0))</f>
        <v/>
      </c>
      <c r="Q459" s="16">
        <f>IF(A459="","",IF(M459=TRUE,IFERROR(J459,0),0))</f>
        <v/>
      </c>
      <c r="R459" s="16">
        <f>IF(A459="","",IF(M459=TRUE,IFERROR(K459,0),0))</f>
        <v/>
      </c>
      <c r="S459" s="16">
        <f>IF(A459="","",IF(M459=TRUE,IFERROR(L459,0),0))</f>
        <v/>
      </c>
      <c r="T459" s="16">
        <f>IF(A459="","",IF(M459=TRUE,IFERROR(H459,0)+IFERROR(I459,0)+IFERROR(L459,0),0))</f>
        <v/>
      </c>
    </row>
    <row r="460">
      <c r="A460" s="10" t="n"/>
      <c r="B460" s="10" t="n"/>
      <c r="C460" s="11" t="n"/>
      <c r="D460" s="11" t="n"/>
      <c r="E460" s="10" t="n"/>
      <c r="F460" s="10" t="n"/>
      <c r="G460" s="12" t="n"/>
      <c r="H460" s="13" t="n"/>
      <c r="I460" s="13" t="n"/>
      <c r="J460" s="13" t="n"/>
      <c r="K460" s="13" t="n"/>
      <c r="L460" s="13" t="n"/>
      <c r="M460" s="17">
        <f>IF(A460="","",IFERROR(VLOOKUP(A460,Raw_CurrentMonth!A:O,15,FALSE)=TRUE,FALSE))</f>
        <v/>
      </c>
      <c r="N460" s="16">
        <f>IF(A460="","",IF(M460=TRUE,IFERROR(H460,0)+IFERROR(I460,0)+IFERROR(J460,0)+IFERROR(K460,0)+IFERROR(L460,0),0))</f>
        <v/>
      </c>
      <c r="O460" s="16">
        <f>IF(A460="","",IF(M460=TRUE,IFERROR(H460,0),0))</f>
        <v/>
      </c>
      <c r="P460" s="16">
        <f>IF(A460="","",IF(M460=TRUE,IFERROR(I460,0),0))</f>
        <v/>
      </c>
      <c r="Q460" s="16">
        <f>IF(A460="","",IF(M460=TRUE,IFERROR(J460,0),0))</f>
        <v/>
      </c>
      <c r="R460" s="16">
        <f>IF(A460="","",IF(M460=TRUE,IFERROR(K460,0),0))</f>
        <v/>
      </c>
      <c r="S460" s="16">
        <f>IF(A460="","",IF(M460=TRUE,IFERROR(L460,0),0))</f>
        <v/>
      </c>
      <c r="T460" s="16">
        <f>IF(A460="","",IF(M460=TRUE,IFERROR(H460,0)+IFERROR(I460,0)+IFERROR(L460,0),0))</f>
        <v/>
      </c>
    </row>
    <row r="461">
      <c r="A461" s="10" t="n"/>
      <c r="B461" s="10" t="n"/>
      <c r="C461" s="11" t="n"/>
      <c r="D461" s="11" t="n"/>
      <c r="E461" s="10" t="n"/>
      <c r="F461" s="10" t="n"/>
      <c r="G461" s="12" t="n"/>
      <c r="H461" s="13" t="n"/>
      <c r="I461" s="13" t="n"/>
      <c r="J461" s="13" t="n"/>
      <c r="K461" s="13" t="n"/>
      <c r="L461" s="13" t="n"/>
      <c r="M461" s="17">
        <f>IF(A461="","",IFERROR(VLOOKUP(A461,Raw_CurrentMonth!A:O,15,FALSE)=TRUE,FALSE))</f>
        <v/>
      </c>
      <c r="N461" s="16">
        <f>IF(A461="","",IF(M461=TRUE,IFERROR(H461,0)+IFERROR(I461,0)+IFERROR(J461,0)+IFERROR(K461,0)+IFERROR(L461,0),0))</f>
        <v/>
      </c>
      <c r="O461" s="16">
        <f>IF(A461="","",IF(M461=TRUE,IFERROR(H461,0),0))</f>
        <v/>
      </c>
      <c r="P461" s="16">
        <f>IF(A461="","",IF(M461=TRUE,IFERROR(I461,0),0))</f>
        <v/>
      </c>
      <c r="Q461" s="16">
        <f>IF(A461="","",IF(M461=TRUE,IFERROR(J461,0),0))</f>
        <v/>
      </c>
      <c r="R461" s="16">
        <f>IF(A461="","",IF(M461=TRUE,IFERROR(K461,0),0))</f>
        <v/>
      </c>
      <c r="S461" s="16">
        <f>IF(A461="","",IF(M461=TRUE,IFERROR(L461,0),0))</f>
        <v/>
      </c>
      <c r="T461" s="16">
        <f>IF(A461="","",IF(M461=TRUE,IFERROR(H461,0)+IFERROR(I461,0)+IFERROR(L461,0),0))</f>
        <v/>
      </c>
    </row>
    <row r="462">
      <c r="A462" s="10" t="n"/>
      <c r="B462" s="10" t="n"/>
      <c r="C462" s="11" t="n"/>
      <c r="D462" s="11" t="n"/>
      <c r="E462" s="10" t="n"/>
      <c r="F462" s="10" t="n"/>
      <c r="G462" s="12" t="n"/>
      <c r="H462" s="13" t="n"/>
      <c r="I462" s="13" t="n"/>
      <c r="J462" s="13" t="n"/>
      <c r="K462" s="13" t="n"/>
      <c r="L462" s="13" t="n"/>
      <c r="M462" s="17">
        <f>IF(A462="","",IFERROR(VLOOKUP(A462,Raw_CurrentMonth!A:O,15,FALSE)=TRUE,FALSE))</f>
        <v/>
      </c>
      <c r="N462" s="16">
        <f>IF(A462="","",IF(M462=TRUE,IFERROR(H462,0)+IFERROR(I462,0)+IFERROR(J462,0)+IFERROR(K462,0)+IFERROR(L462,0),0))</f>
        <v/>
      </c>
      <c r="O462" s="16">
        <f>IF(A462="","",IF(M462=TRUE,IFERROR(H462,0),0))</f>
        <v/>
      </c>
      <c r="P462" s="16">
        <f>IF(A462="","",IF(M462=TRUE,IFERROR(I462,0),0))</f>
        <v/>
      </c>
      <c r="Q462" s="16">
        <f>IF(A462="","",IF(M462=TRUE,IFERROR(J462,0),0))</f>
        <v/>
      </c>
      <c r="R462" s="16">
        <f>IF(A462="","",IF(M462=TRUE,IFERROR(K462,0),0))</f>
        <v/>
      </c>
      <c r="S462" s="16">
        <f>IF(A462="","",IF(M462=TRUE,IFERROR(L462,0),0))</f>
        <v/>
      </c>
      <c r="T462" s="16">
        <f>IF(A462="","",IF(M462=TRUE,IFERROR(H462,0)+IFERROR(I462,0)+IFERROR(L462,0),0))</f>
        <v/>
      </c>
    </row>
    <row r="463">
      <c r="A463" s="10" t="n"/>
      <c r="B463" s="10" t="n"/>
      <c r="C463" s="11" t="n"/>
      <c r="D463" s="11" t="n"/>
      <c r="E463" s="10" t="n"/>
      <c r="F463" s="10" t="n"/>
      <c r="G463" s="12" t="n"/>
      <c r="H463" s="13" t="n"/>
      <c r="I463" s="13" t="n"/>
      <c r="J463" s="13" t="n"/>
      <c r="K463" s="13" t="n"/>
      <c r="L463" s="13" t="n"/>
      <c r="M463" s="17">
        <f>IF(A463="","",IFERROR(VLOOKUP(A463,Raw_CurrentMonth!A:O,15,FALSE)=TRUE,FALSE))</f>
        <v/>
      </c>
      <c r="N463" s="16">
        <f>IF(A463="","",IF(M463=TRUE,IFERROR(H463,0)+IFERROR(I463,0)+IFERROR(J463,0)+IFERROR(K463,0)+IFERROR(L463,0),0))</f>
        <v/>
      </c>
      <c r="O463" s="16">
        <f>IF(A463="","",IF(M463=TRUE,IFERROR(H463,0),0))</f>
        <v/>
      </c>
      <c r="P463" s="16">
        <f>IF(A463="","",IF(M463=TRUE,IFERROR(I463,0),0))</f>
        <v/>
      </c>
      <c r="Q463" s="16">
        <f>IF(A463="","",IF(M463=TRUE,IFERROR(J463,0),0))</f>
        <v/>
      </c>
      <c r="R463" s="16">
        <f>IF(A463="","",IF(M463=TRUE,IFERROR(K463,0),0))</f>
        <v/>
      </c>
      <c r="S463" s="16">
        <f>IF(A463="","",IF(M463=TRUE,IFERROR(L463,0),0))</f>
        <v/>
      </c>
      <c r="T463" s="16">
        <f>IF(A463="","",IF(M463=TRUE,IFERROR(H463,0)+IFERROR(I463,0)+IFERROR(L463,0),0))</f>
        <v/>
      </c>
    </row>
    <row r="464">
      <c r="A464" s="10" t="n"/>
      <c r="B464" s="10" t="n"/>
      <c r="C464" s="11" t="n"/>
      <c r="D464" s="11" t="n"/>
      <c r="E464" s="10" t="n"/>
      <c r="F464" s="10" t="n"/>
      <c r="G464" s="12" t="n"/>
      <c r="H464" s="13" t="n"/>
      <c r="I464" s="13" t="n"/>
      <c r="J464" s="13" t="n"/>
      <c r="K464" s="13" t="n"/>
      <c r="L464" s="13" t="n"/>
      <c r="M464" s="17">
        <f>IF(A464="","",IFERROR(VLOOKUP(A464,Raw_CurrentMonth!A:O,15,FALSE)=TRUE,FALSE))</f>
        <v/>
      </c>
      <c r="N464" s="16">
        <f>IF(A464="","",IF(M464=TRUE,IFERROR(H464,0)+IFERROR(I464,0)+IFERROR(J464,0)+IFERROR(K464,0)+IFERROR(L464,0),0))</f>
        <v/>
      </c>
      <c r="O464" s="16">
        <f>IF(A464="","",IF(M464=TRUE,IFERROR(H464,0),0))</f>
        <v/>
      </c>
      <c r="P464" s="16">
        <f>IF(A464="","",IF(M464=TRUE,IFERROR(I464,0),0))</f>
        <v/>
      </c>
      <c r="Q464" s="16">
        <f>IF(A464="","",IF(M464=TRUE,IFERROR(J464,0),0))</f>
        <v/>
      </c>
      <c r="R464" s="16">
        <f>IF(A464="","",IF(M464=TRUE,IFERROR(K464,0),0))</f>
        <v/>
      </c>
      <c r="S464" s="16">
        <f>IF(A464="","",IF(M464=TRUE,IFERROR(L464,0),0))</f>
        <v/>
      </c>
      <c r="T464" s="16">
        <f>IF(A464="","",IF(M464=TRUE,IFERROR(H464,0)+IFERROR(I464,0)+IFERROR(L464,0),0))</f>
        <v/>
      </c>
    </row>
    <row r="465">
      <c r="A465" s="10" t="n"/>
      <c r="B465" s="10" t="n"/>
      <c r="C465" s="11" t="n"/>
      <c r="D465" s="11" t="n"/>
      <c r="E465" s="10" t="n"/>
      <c r="F465" s="10" t="n"/>
      <c r="G465" s="12" t="n"/>
      <c r="H465" s="13" t="n"/>
      <c r="I465" s="13" t="n"/>
      <c r="J465" s="13" t="n"/>
      <c r="K465" s="13" t="n"/>
      <c r="L465" s="13" t="n"/>
      <c r="M465" s="17">
        <f>IF(A465="","",IFERROR(VLOOKUP(A465,Raw_CurrentMonth!A:O,15,FALSE)=TRUE,FALSE))</f>
        <v/>
      </c>
      <c r="N465" s="16">
        <f>IF(A465="","",IF(M465=TRUE,IFERROR(H465,0)+IFERROR(I465,0)+IFERROR(J465,0)+IFERROR(K465,0)+IFERROR(L465,0),0))</f>
        <v/>
      </c>
      <c r="O465" s="16">
        <f>IF(A465="","",IF(M465=TRUE,IFERROR(H465,0),0))</f>
        <v/>
      </c>
      <c r="P465" s="16">
        <f>IF(A465="","",IF(M465=TRUE,IFERROR(I465,0),0))</f>
        <v/>
      </c>
      <c r="Q465" s="16">
        <f>IF(A465="","",IF(M465=TRUE,IFERROR(J465,0),0))</f>
        <v/>
      </c>
      <c r="R465" s="16">
        <f>IF(A465="","",IF(M465=TRUE,IFERROR(K465,0),0))</f>
        <v/>
      </c>
      <c r="S465" s="16">
        <f>IF(A465="","",IF(M465=TRUE,IFERROR(L465,0),0))</f>
        <v/>
      </c>
      <c r="T465" s="16">
        <f>IF(A465="","",IF(M465=TRUE,IFERROR(H465,0)+IFERROR(I465,0)+IFERROR(L465,0),0))</f>
        <v/>
      </c>
    </row>
    <row r="466">
      <c r="A466" s="10" t="n"/>
      <c r="B466" s="10" t="n"/>
      <c r="C466" s="11" t="n"/>
      <c r="D466" s="11" t="n"/>
      <c r="E466" s="10" t="n"/>
      <c r="F466" s="10" t="n"/>
      <c r="G466" s="12" t="n"/>
      <c r="H466" s="13" t="n"/>
      <c r="I466" s="13" t="n"/>
      <c r="J466" s="13" t="n"/>
      <c r="K466" s="13" t="n"/>
      <c r="L466" s="13" t="n"/>
      <c r="M466" s="17">
        <f>IF(A466="","",IFERROR(VLOOKUP(A466,Raw_CurrentMonth!A:O,15,FALSE)=TRUE,FALSE))</f>
        <v/>
      </c>
      <c r="N466" s="16">
        <f>IF(A466="","",IF(M466=TRUE,IFERROR(H466,0)+IFERROR(I466,0)+IFERROR(J466,0)+IFERROR(K466,0)+IFERROR(L466,0),0))</f>
        <v/>
      </c>
      <c r="O466" s="16">
        <f>IF(A466="","",IF(M466=TRUE,IFERROR(H466,0),0))</f>
        <v/>
      </c>
      <c r="P466" s="16">
        <f>IF(A466="","",IF(M466=TRUE,IFERROR(I466,0),0))</f>
        <v/>
      </c>
      <c r="Q466" s="16">
        <f>IF(A466="","",IF(M466=TRUE,IFERROR(J466,0),0))</f>
        <v/>
      </c>
      <c r="R466" s="16">
        <f>IF(A466="","",IF(M466=TRUE,IFERROR(K466,0),0))</f>
        <v/>
      </c>
      <c r="S466" s="16">
        <f>IF(A466="","",IF(M466=TRUE,IFERROR(L466,0),0))</f>
        <v/>
      </c>
      <c r="T466" s="16">
        <f>IF(A466="","",IF(M466=TRUE,IFERROR(H466,0)+IFERROR(I466,0)+IFERROR(L466,0),0))</f>
        <v/>
      </c>
    </row>
    <row r="467">
      <c r="A467" s="10" t="n"/>
      <c r="B467" s="10" t="n"/>
      <c r="C467" s="11" t="n"/>
      <c r="D467" s="11" t="n"/>
      <c r="E467" s="10" t="n"/>
      <c r="F467" s="10" t="n"/>
      <c r="G467" s="12" t="n"/>
      <c r="H467" s="13" t="n"/>
      <c r="I467" s="13" t="n"/>
      <c r="J467" s="13" t="n"/>
      <c r="K467" s="13" t="n"/>
      <c r="L467" s="13" t="n"/>
      <c r="M467" s="17">
        <f>IF(A467="","",IFERROR(VLOOKUP(A467,Raw_CurrentMonth!A:O,15,FALSE)=TRUE,FALSE))</f>
        <v/>
      </c>
      <c r="N467" s="16">
        <f>IF(A467="","",IF(M467=TRUE,IFERROR(H467,0)+IFERROR(I467,0)+IFERROR(J467,0)+IFERROR(K467,0)+IFERROR(L467,0),0))</f>
        <v/>
      </c>
      <c r="O467" s="16">
        <f>IF(A467="","",IF(M467=TRUE,IFERROR(H467,0),0))</f>
        <v/>
      </c>
      <c r="P467" s="16">
        <f>IF(A467="","",IF(M467=TRUE,IFERROR(I467,0),0))</f>
        <v/>
      </c>
      <c r="Q467" s="16">
        <f>IF(A467="","",IF(M467=TRUE,IFERROR(J467,0),0))</f>
        <v/>
      </c>
      <c r="R467" s="16">
        <f>IF(A467="","",IF(M467=TRUE,IFERROR(K467,0),0))</f>
        <v/>
      </c>
      <c r="S467" s="16">
        <f>IF(A467="","",IF(M467=TRUE,IFERROR(L467,0),0))</f>
        <v/>
      </c>
      <c r="T467" s="16">
        <f>IF(A467="","",IF(M467=TRUE,IFERROR(H467,0)+IFERROR(I467,0)+IFERROR(L467,0),0))</f>
        <v/>
      </c>
    </row>
    <row r="468">
      <c r="A468" s="10" t="n"/>
      <c r="B468" s="10" t="n"/>
      <c r="C468" s="11" t="n"/>
      <c r="D468" s="11" t="n"/>
      <c r="E468" s="10" t="n"/>
      <c r="F468" s="10" t="n"/>
      <c r="G468" s="12" t="n"/>
      <c r="H468" s="13" t="n"/>
      <c r="I468" s="13" t="n"/>
      <c r="J468" s="13" t="n"/>
      <c r="K468" s="13" t="n"/>
      <c r="L468" s="13" t="n"/>
      <c r="M468" s="17">
        <f>IF(A468="","",IFERROR(VLOOKUP(A468,Raw_CurrentMonth!A:O,15,FALSE)=TRUE,FALSE))</f>
        <v/>
      </c>
      <c r="N468" s="16">
        <f>IF(A468="","",IF(M468=TRUE,IFERROR(H468,0)+IFERROR(I468,0)+IFERROR(J468,0)+IFERROR(K468,0)+IFERROR(L468,0),0))</f>
        <v/>
      </c>
      <c r="O468" s="16">
        <f>IF(A468="","",IF(M468=TRUE,IFERROR(H468,0),0))</f>
        <v/>
      </c>
      <c r="P468" s="16">
        <f>IF(A468="","",IF(M468=TRUE,IFERROR(I468,0),0))</f>
        <v/>
      </c>
      <c r="Q468" s="16">
        <f>IF(A468="","",IF(M468=TRUE,IFERROR(J468,0),0))</f>
        <v/>
      </c>
      <c r="R468" s="16">
        <f>IF(A468="","",IF(M468=TRUE,IFERROR(K468,0),0))</f>
        <v/>
      </c>
      <c r="S468" s="16">
        <f>IF(A468="","",IF(M468=TRUE,IFERROR(L468,0),0))</f>
        <v/>
      </c>
      <c r="T468" s="16">
        <f>IF(A468="","",IF(M468=TRUE,IFERROR(H468,0)+IFERROR(I468,0)+IFERROR(L468,0),0))</f>
        <v/>
      </c>
    </row>
    <row r="469">
      <c r="A469" s="10" t="n"/>
      <c r="B469" s="10" t="n"/>
      <c r="C469" s="11" t="n"/>
      <c r="D469" s="11" t="n"/>
      <c r="E469" s="10" t="n"/>
      <c r="F469" s="10" t="n"/>
      <c r="G469" s="12" t="n"/>
      <c r="H469" s="13" t="n"/>
      <c r="I469" s="13" t="n"/>
      <c r="J469" s="13" t="n"/>
      <c r="K469" s="13" t="n"/>
      <c r="L469" s="13" t="n"/>
      <c r="M469" s="17">
        <f>IF(A469="","",IFERROR(VLOOKUP(A469,Raw_CurrentMonth!A:O,15,FALSE)=TRUE,FALSE))</f>
        <v/>
      </c>
      <c r="N469" s="16">
        <f>IF(A469="","",IF(M469=TRUE,IFERROR(H469,0)+IFERROR(I469,0)+IFERROR(J469,0)+IFERROR(K469,0)+IFERROR(L469,0),0))</f>
        <v/>
      </c>
      <c r="O469" s="16">
        <f>IF(A469="","",IF(M469=TRUE,IFERROR(H469,0),0))</f>
        <v/>
      </c>
      <c r="P469" s="16">
        <f>IF(A469="","",IF(M469=TRUE,IFERROR(I469,0),0))</f>
        <v/>
      </c>
      <c r="Q469" s="16">
        <f>IF(A469="","",IF(M469=TRUE,IFERROR(J469,0),0))</f>
        <v/>
      </c>
      <c r="R469" s="16">
        <f>IF(A469="","",IF(M469=TRUE,IFERROR(K469,0),0))</f>
        <v/>
      </c>
      <c r="S469" s="16">
        <f>IF(A469="","",IF(M469=TRUE,IFERROR(L469,0),0))</f>
        <v/>
      </c>
      <c r="T469" s="16">
        <f>IF(A469="","",IF(M469=TRUE,IFERROR(H469,0)+IFERROR(I469,0)+IFERROR(L469,0),0))</f>
        <v/>
      </c>
    </row>
    <row r="470">
      <c r="A470" s="10" t="n"/>
      <c r="B470" s="10" t="n"/>
      <c r="C470" s="11" t="n"/>
      <c r="D470" s="11" t="n"/>
      <c r="E470" s="10" t="n"/>
      <c r="F470" s="10" t="n"/>
      <c r="G470" s="12" t="n"/>
      <c r="H470" s="13" t="n"/>
      <c r="I470" s="13" t="n"/>
      <c r="J470" s="13" t="n"/>
      <c r="K470" s="13" t="n"/>
      <c r="L470" s="13" t="n"/>
      <c r="M470" s="17">
        <f>IF(A470="","",IFERROR(VLOOKUP(A470,Raw_CurrentMonth!A:O,15,FALSE)=TRUE,FALSE))</f>
        <v/>
      </c>
      <c r="N470" s="16">
        <f>IF(A470="","",IF(M470=TRUE,IFERROR(H470,0)+IFERROR(I470,0)+IFERROR(J470,0)+IFERROR(K470,0)+IFERROR(L470,0),0))</f>
        <v/>
      </c>
      <c r="O470" s="16">
        <f>IF(A470="","",IF(M470=TRUE,IFERROR(H470,0),0))</f>
        <v/>
      </c>
      <c r="P470" s="16">
        <f>IF(A470="","",IF(M470=TRUE,IFERROR(I470,0),0))</f>
        <v/>
      </c>
      <c r="Q470" s="16">
        <f>IF(A470="","",IF(M470=TRUE,IFERROR(J470,0),0))</f>
        <v/>
      </c>
      <c r="R470" s="16">
        <f>IF(A470="","",IF(M470=TRUE,IFERROR(K470,0),0))</f>
        <v/>
      </c>
      <c r="S470" s="16">
        <f>IF(A470="","",IF(M470=TRUE,IFERROR(L470,0),0))</f>
        <v/>
      </c>
      <c r="T470" s="16">
        <f>IF(A470="","",IF(M470=TRUE,IFERROR(H470,0)+IFERROR(I470,0)+IFERROR(L470,0),0))</f>
        <v/>
      </c>
    </row>
    <row r="471">
      <c r="A471" s="10" t="n"/>
      <c r="B471" s="10" t="n"/>
      <c r="C471" s="11" t="n"/>
      <c r="D471" s="11" t="n"/>
      <c r="E471" s="10" t="n"/>
      <c r="F471" s="10" t="n"/>
      <c r="G471" s="12" t="n"/>
      <c r="H471" s="13" t="n"/>
      <c r="I471" s="13" t="n"/>
      <c r="J471" s="13" t="n"/>
      <c r="K471" s="13" t="n"/>
      <c r="L471" s="13" t="n"/>
      <c r="M471" s="17">
        <f>IF(A471="","",IFERROR(VLOOKUP(A471,Raw_CurrentMonth!A:O,15,FALSE)=TRUE,FALSE))</f>
        <v/>
      </c>
      <c r="N471" s="16">
        <f>IF(A471="","",IF(M471=TRUE,IFERROR(H471,0)+IFERROR(I471,0)+IFERROR(J471,0)+IFERROR(K471,0)+IFERROR(L471,0),0))</f>
        <v/>
      </c>
      <c r="O471" s="16">
        <f>IF(A471="","",IF(M471=TRUE,IFERROR(H471,0),0))</f>
        <v/>
      </c>
      <c r="P471" s="16">
        <f>IF(A471="","",IF(M471=TRUE,IFERROR(I471,0),0))</f>
        <v/>
      </c>
      <c r="Q471" s="16">
        <f>IF(A471="","",IF(M471=TRUE,IFERROR(J471,0),0))</f>
        <v/>
      </c>
      <c r="R471" s="16">
        <f>IF(A471="","",IF(M471=TRUE,IFERROR(K471,0),0))</f>
        <v/>
      </c>
      <c r="S471" s="16">
        <f>IF(A471="","",IF(M471=TRUE,IFERROR(L471,0),0))</f>
        <v/>
      </c>
      <c r="T471" s="16">
        <f>IF(A471="","",IF(M471=TRUE,IFERROR(H471,0)+IFERROR(I471,0)+IFERROR(L471,0),0))</f>
        <v/>
      </c>
    </row>
    <row r="472">
      <c r="A472" s="10" t="n"/>
      <c r="B472" s="10" t="n"/>
      <c r="C472" s="11" t="n"/>
      <c r="D472" s="11" t="n"/>
      <c r="E472" s="10" t="n"/>
      <c r="F472" s="10" t="n"/>
      <c r="G472" s="12" t="n"/>
      <c r="H472" s="13" t="n"/>
      <c r="I472" s="13" t="n"/>
      <c r="J472" s="13" t="n"/>
      <c r="K472" s="13" t="n"/>
      <c r="L472" s="13" t="n"/>
      <c r="M472" s="17">
        <f>IF(A472="","",IFERROR(VLOOKUP(A472,Raw_CurrentMonth!A:O,15,FALSE)=TRUE,FALSE))</f>
        <v/>
      </c>
      <c r="N472" s="16">
        <f>IF(A472="","",IF(M472=TRUE,IFERROR(H472,0)+IFERROR(I472,0)+IFERROR(J472,0)+IFERROR(K472,0)+IFERROR(L472,0),0))</f>
        <v/>
      </c>
      <c r="O472" s="16">
        <f>IF(A472="","",IF(M472=TRUE,IFERROR(H472,0),0))</f>
        <v/>
      </c>
      <c r="P472" s="16">
        <f>IF(A472="","",IF(M472=TRUE,IFERROR(I472,0),0))</f>
        <v/>
      </c>
      <c r="Q472" s="16">
        <f>IF(A472="","",IF(M472=TRUE,IFERROR(J472,0),0))</f>
        <v/>
      </c>
      <c r="R472" s="16">
        <f>IF(A472="","",IF(M472=TRUE,IFERROR(K472,0),0))</f>
        <v/>
      </c>
      <c r="S472" s="16">
        <f>IF(A472="","",IF(M472=TRUE,IFERROR(L472,0),0))</f>
        <v/>
      </c>
      <c r="T472" s="16">
        <f>IF(A472="","",IF(M472=TRUE,IFERROR(H472,0)+IFERROR(I472,0)+IFERROR(L472,0),0))</f>
        <v/>
      </c>
    </row>
    <row r="473">
      <c r="A473" s="10" t="n"/>
      <c r="B473" s="10" t="n"/>
      <c r="C473" s="11" t="n"/>
      <c r="D473" s="11" t="n"/>
      <c r="E473" s="10" t="n"/>
      <c r="F473" s="10" t="n"/>
      <c r="G473" s="12" t="n"/>
      <c r="H473" s="13" t="n"/>
      <c r="I473" s="13" t="n"/>
      <c r="J473" s="13" t="n"/>
      <c r="K473" s="13" t="n"/>
      <c r="L473" s="13" t="n"/>
      <c r="M473" s="17">
        <f>IF(A473="","",IFERROR(VLOOKUP(A473,Raw_CurrentMonth!A:O,15,FALSE)=TRUE,FALSE))</f>
        <v/>
      </c>
      <c r="N473" s="16">
        <f>IF(A473="","",IF(M473=TRUE,IFERROR(H473,0)+IFERROR(I473,0)+IFERROR(J473,0)+IFERROR(K473,0)+IFERROR(L473,0),0))</f>
        <v/>
      </c>
      <c r="O473" s="16">
        <f>IF(A473="","",IF(M473=TRUE,IFERROR(H473,0),0))</f>
        <v/>
      </c>
      <c r="P473" s="16">
        <f>IF(A473="","",IF(M473=TRUE,IFERROR(I473,0),0))</f>
        <v/>
      </c>
      <c r="Q473" s="16">
        <f>IF(A473="","",IF(M473=TRUE,IFERROR(J473,0),0))</f>
        <v/>
      </c>
      <c r="R473" s="16">
        <f>IF(A473="","",IF(M473=TRUE,IFERROR(K473,0),0))</f>
        <v/>
      </c>
      <c r="S473" s="16">
        <f>IF(A473="","",IF(M473=TRUE,IFERROR(L473,0),0))</f>
        <v/>
      </c>
      <c r="T473" s="16">
        <f>IF(A473="","",IF(M473=TRUE,IFERROR(H473,0)+IFERROR(I473,0)+IFERROR(L473,0),0))</f>
        <v/>
      </c>
    </row>
    <row r="474">
      <c r="A474" s="10" t="n"/>
      <c r="B474" s="10" t="n"/>
      <c r="C474" s="11" t="n"/>
      <c r="D474" s="11" t="n"/>
      <c r="E474" s="10" t="n"/>
      <c r="F474" s="10" t="n"/>
      <c r="G474" s="12" t="n"/>
      <c r="H474" s="13" t="n"/>
      <c r="I474" s="13" t="n"/>
      <c r="J474" s="13" t="n"/>
      <c r="K474" s="13" t="n"/>
      <c r="L474" s="13" t="n"/>
      <c r="M474" s="17">
        <f>IF(A474="","",IFERROR(VLOOKUP(A474,Raw_CurrentMonth!A:O,15,FALSE)=TRUE,FALSE))</f>
        <v/>
      </c>
      <c r="N474" s="16">
        <f>IF(A474="","",IF(M474=TRUE,IFERROR(H474,0)+IFERROR(I474,0)+IFERROR(J474,0)+IFERROR(K474,0)+IFERROR(L474,0),0))</f>
        <v/>
      </c>
      <c r="O474" s="16">
        <f>IF(A474="","",IF(M474=TRUE,IFERROR(H474,0),0))</f>
        <v/>
      </c>
      <c r="P474" s="16">
        <f>IF(A474="","",IF(M474=TRUE,IFERROR(I474,0),0))</f>
        <v/>
      </c>
      <c r="Q474" s="16">
        <f>IF(A474="","",IF(M474=TRUE,IFERROR(J474,0),0))</f>
        <v/>
      </c>
      <c r="R474" s="16">
        <f>IF(A474="","",IF(M474=TRUE,IFERROR(K474,0),0))</f>
        <v/>
      </c>
      <c r="S474" s="16">
        <f>IF(A474="","",IF(M474=TRUE,IFERROR(L474,0),0))</f>
        <v/>
      </c>
      <c r="T474" s="16">
        <f>IF(A474="","",IF(M474=TRUE,IFERROR(H474,0)+IFERROR(I474,0)+IFERROR(L474,0),0))</f>
        <v/>
      </c>
    </row>
    <row r="475">
      <c r="A475" s="10" t="n"/>
      <c r="B475" s="10" t="n"/>
      <c r="C475" s="11" t="n"/>
      <c r="D475" s="11" t="n"/>
      <c r="E475" s="10" t="n"/>
      <c r="F475" s="10" t="n"/>
      <c r="G475" s="12" t="n"/>
      <c r="H475" s="13" t="n"/>
      <c r="I475" s="13" t="n"/>
      <c r="J475" s="13" t="n"/>
      <c r="K475" s="13" t="n"/>
      <c r="L475" s="13" t="n"/>
      <c r="M475" s="17">
        <f>IF(A475="","",IFERROR(VLOOKUP(A475,Raw_CurrentMonth!A:O,15,FALSE)=TRUE,FALSE))</f>
        <v/>
      </c>
      <c r="N475" s="16">
        <f>IF(A475="","",IF(M475=TRUE,IFERROR(H475,0)+IFERROR(I475,0)+IFERROR(J475,0)+IFERROR(K475,0)+IFERROR(L475,0),0))</f>
        <v/>
      </c>
      <c r="O475" s="16">
        <f>IF(A475="","",IF(M475=TRUE,IFERROR(H475,0),0))</f>
        <v/>
      </c>
      <c r="P475" s="16">
        <f>IF(A475="","",IF(M475=TRUE,IFERROR(I475,0),0))</f>
        <v/>
      </c>
      <c r="Q475" s="16">
        <f>IF(A475="","",IF(M475=TRUE,IFERROR(J475,0),0))</f>
        <v/>
      </c>
      <c r="R475" s="16">
        <f>IF(A475="","",IF(M475=TRUE,IFERROR(K475,0),0))</f>
        <v/>
      </c>
      <c r="S475" s="16">
        <f>IF(A475="","",IF(M475=TRUE,IFERROR(L475,0),0))</f>
        <v/>
      </c>
      <c r="T475" s="16">
        <f>IF(A475="","",IF(M475=TRUE,IFERROR(H475,0)+IFERROR(I475,0)+IFERROR(L475,0),0))</f>
        <v/>
      </c>
    </row>
    <row r="476">
      <c r="A476" s="10" t="n"/>
      <c r="B476" s="10" t="n"/>
      <c r="C476" s="11" t="n"/>
      <c r="D476" s="11" t="n"/>
      <c r="E476" s="10" t="n"/>
      <c r="F476" s="10" t="n"/>
      <c r="G476" s="12" t="n"/>
      <c r="H476" s="13" t="n"/>
      <c r="I476" s="13" t="n"/>
      <c r="J476" s="13" t="n"/>
      <c r="K476" s="13" t="n"/>
      <c r="L476" s="13" t="n"/>
      <c r="M476" s="17">
        <f>IF(A476="","",IFERROR(VLOOKUP(A476,Raw_CurrentMonth!A:O,15,FALSE)=TRUE,FALSE))</f>
        <v/>
      </c>
      <c r="N476" s="16">
        <f>IF(A476="","",IF(M476=TRUE,IFERROR(H476,0)+IFERROR(I476,0)+IFERROR(J476,0)+IFERROR(K476,0)+IFERROR(L476,0),0))</f>
        <v/>
      </c>
      <c r="O476" s="16">
        <f>IF(A476="","",IF(M476=TRUE,IFERROR(H476,0),0))</f>
        <v/>
      </c>
      <c r="P476" s="16">
        <f>IF(A476="","",IF(M476=TRUE,IFERROR(I476,0),0))</f>
        <v/>
      </c>
      <c r="Q476" s="16">
        <f>IF(A476="","",IF(M476=TRUE,IFERROR(J476,0),0))</f>
        <v/>
      </c>
      <c r="R476" s="16">
        <f>IF(A476="","",IF(M476=TRUE,IFERROR(K476,0),0))</f>
        <v/>
      </c>
      <c r="S476" s="16">
        <f>IF(A476="","",IF(M476=TRUE,IFERROR(L476,0),0))</f>
        <v/>
      </c>
      <c r="T476" s="16">
        <f>IF(A476="","",IF(M476=TRUE,IFERROR(H476,0)+IFERROR(I476,0)+IFERROR(L476,0),0))</f>
        <v/>
      </c>
    </row>
    <row r="477">
      <c r="A477" s="10" t="n"/>
      <c r="B477" s="10" t="n"/>
      <c r="C477" s="11" t="n"/>
      <c r="D477" s="11" t="n"/>
      <c r="E477" s="10" t="n"/>
      <c r="F477" s="10" t="n"/>
      <c r="G477" s="12" t="n"/>
      <c r="H477" s="13" t="n"/>
      <c r="I477" s="13" t="n"/>
      <c r="J477" s="13" t="n"/>
      <c r="K477" s="13" t="n"/>
      <c r="L477" s="13" t="n"/>
      <c r="M477" s="17">
        <f>IF(A477="","",IFERROR(VLOOKUP(A477,Raw_CurrentMonth!A:O,15,FALSE)=TRUE,FALSE))</f>
        <v/>
      </c>
      <c r="N477" s="16">
        <f>IF(A477="","",IF(M477=TRUE,IFERROR(H477,0)+IFERROR(I477,0)+IFERROR(J477,0)+IFERROR(K477,0)+IFERROR(L477,0),0))</f>
        <v/>
      </c>
      <c r="O477" s="16">
        <f>IF(A477="","",IF(M477=TRUE,IFERROR(H477,0),0))</f>
        <v/>
      </c>
      <c r="P477" s="16">
        <f>IF(A477="","",IF(M477=TRUE,IFERROR(I477,0),0))</f>
        <v/>
      </c>
      <c r="Q477" s="16">
        <f>IF(A477="","",IF(M477=TRUE,IFERROR(J477,0),0))</f>
        <v/>
      </c>
      <c r="R477" s="16">
        <f>IF(A477="","",IF(M477=TRUE,IFERROR(K477,0),0))</f>
        <v/>
      </c>
      <c r="S477" s="16">
        <f>IF(A477="","",IF(M477=TRUE,IFERROR(L477,0),0))</f>
        <v/>
      </c>
      <c r="T477" s="16">
        <f>IF(A477="","",IF(M477=TRUE,IFERROR(H477,0)+IFERROR(I477,0)+IFERROR(L477,0),0))</f>
        <v/>
      </c>
    </row>
    <row r="478">
      <c r="A478" s="10" t="n"/>
      <c r="B478" s="10" t="n"/>
      <c r="C478" s="11" t="n"/>
      <c r="D478" s="11" t="n"/>
      <c r="E478" s="10" t="n"/>
      <c r="F478" s="10" t="n"/>
      <c r="G478" s="12" t="n"/>
      <c r="H478" s="13" t="n"/>
      <c r="I478" s="13" t="n"/>
      <c r="J478" s="13" t="n"/>
      <c r="K478" s="13" t="n"/>
      <c r="L478" s="13" t="n"/>
      <c r="M478" s="17">
        <f>IF(A478="","",IFERROR(VLOOKUP(A478,Raw_CurrentMonth!A:O,15,FALSE)=TRUE,FALSE))</f>
        <v/>
      </c>
      <c r="N478" s="16">
        <f>IF(A478="","",IF(M478=TRUE,IFERROR(H478,0)+IFERROR(I478,0)+IFERROR(J478,0)+IFERROR(K478,0)+IFERROR(L478,0),0))</f>
        <v/>
      </c>
      <c r="O478" s="16">
        <f>IF(A478="","",IF(M478=TRUE,IFERROR(H478,0),0))</f>
        <v/>
      </c>
      <c r="P478" s="16">
        <f>IF(A478="","",IF(M478=TRUE,IFERROR(I478,0),0))</f>
        <v/>
      </c>
      <c r="Q478" s="16">
        <f>IF(A478="","",IF(M478=TRUE,IFERROR(J478,0),0))</f>
        <v/>
      </c>
      <c r="R478" s="16">
        <f>IF(A478="","",IF(M478=TRUE,IFERROR(K478,0),0))</f>
        <v/>
      </c>
      <c r="S478" s="16">
        <f>IF(A478="","",IF(M478=TRUE,IFERROR(L478,0),0))</f>
        <v/>
      </c>
      <c r="T478" s="16">
        <f>IF(A478="","",IF(M478=TRUE,IFERROR(H478,0)+IFERROR(I478,0)+IFERROR(L478,0),0))</f>
        <v/>
      </c>
    </row>
    <row r="479">
      <c r="A479" s="10" t="n"/>
      <c r="B479" s="10" t="n"/>
      <c r="C479" s="11" t="n"/>
      <c r="D479" s="11" t="n"/>
      <c r="E479" s="10" t="n"/>
      <c r="F479" s="10" t="n"/>
      <c r="G479" s="12" t="n"/>
      <c r="H479" s="13" t="n"/>
      <c r="I479" s="13" t="n"/>
      <c r="J479" s="13" t="n"/>
      <c r="K479" s="13" t="n"/>
      <c r="L479" s="13" t="n"/>
      <c r="M479" s="17">
        <f>IF(A479="","",IFERROR(VLOOKUP(A479,Raw_CurrentMonth!A:O,15,FALSE)=TRUE,FALSE))</f>
        <v/>
      </c>
      <c r="N479" s="16">
        <f>IF(A479="","",IF(M479=TRUE,IFERROR(H479,0)+IFERROR(I479,0)+IFERROR(J479,0)+IFERROR(K479,0)+IFERROR(L479,0),0))</f>
        <v/>
      </c>
      <c r="O479" s="16">
        <f>IF(A479="","",IF(M479=TRUE,IFERROR(H479,0),0))</f>
        <v/>
      </c>
      <c r="P479" s="16">
        <f>IF(A479="","",IF(M479=TRUE,IFERROR(I479,0),0))</f>
        <v/>
      </c>
      <c r="Q479" s="16">
        <f>IF(A479="","",IF(M479=TRUE,IFERROR(J479,0),0))</f>
        <v/>
      </c>
      <c r="R479" s="16">
        <f>IF(A479="","",IF(M479=TRUE,IFERROR(K479,0),0))</f>
        <v/>
      </c>
      <c r="S479" s="16">
        <f>IF(A479="","",IF(M479=TRUE,IFERROR(L479,0),0))</f>
        <v/>
      </c>
      <c r="T479" s="16">
        <f>IF(A479="","",IF(M479=TRUE,IFERROR(H479,0)+IFERROR(I479,0)+IFERROR(L479,0),0))</f>
        <v/>
      </c>
    </row>
    <row r="480">
      <c r="A480" s="10" t="n"/>
      <c r="B480" s="10" t="n"/>
      <c r="C480" s="11" t="n"/>
      <c r="D480" s="11" t="n"/>
      <c r="E480" s="10" t="n"/>
      <c r="F480" s="10" t="n"/>
      <c r="G480" s="12" t="n"/>
      <c r="H480" s="13" t="n"/>
      <c r="I480" s="13" t="n"/>
      <c r="J480" s="13" t="n"/>
      <c r="K480" s="13" t="n"/>
      <c r="L480" s="13" t="n"/>
      <c r="M480" s="17">
        <f>IF(A480="","",IFERROR(VLOOKUP(A480,Raw_CurrentMonth!A:O,15,FALSE)=TRUE,FALSE))</f>
        <v/>
      </c>
      <c r="N480" s="16">
        <f>IF(A480="","",IF(M480=TRUE,IFERROR(H480,0)+IFERROR(I480,0)+IFERROR(J480,0)+IFERROR(K480,0)+IFERROR(L480,0),0))</f>
        <v/>
      </c>
      <c r="O480" s="16">
        <f>IF(A480="","",IF(M480=TRUE,IFERROR(H480,0),0))</f>
        <v/>
      </c>
      <c r="P480" s="16">
        <f>IF(A480="","",IF(M480=TRUE,IFERROR(I480,0),0))</f>
        <v/>
      </c>
      <c r="Q480" s="16">
        <f>IF(A480="","",IF(M480=TRUE,IFERROR(J480,0),0))</f>
        <v/>
      </c>
      <c r="R480" s="16">
        <f>IF(A480="","",IF(M480=TRUE,IFERROR(K480,0),0))</f>
        <v/>
      </c>
      <c r="S480" s="16">
        <f>IF(A480="","",IF(M480=TRUE,IFERROR(L480,0),0))</f>
        <v/>
      </c>
      <c r="T480" s="16">
        <f>IF(A480="","",IF(M480=TRUE,IFERROR(H480,0)+IFERROR(I480,0)+IFERROR(L480,0),0))</f>
        <v/>
      </c>
    </row>
    <row r="481">
      <c r="A481" s="10" t="n"/>
      <c r="B481" s="10" t="n"/>
      <c r="C481" s="11" t="n"/>
      <c r="D481" s="11" t="n"/>
      <c r="E481" s="10" t="n"/>
      <c r="F481" s="10" t="n"/>
      <c r="G481" s="12" t="n"/>
      <c r="H481" s="13" t="n"/>
      <c r="I481" s="13" t="n"/>
      <c r="J481" s="13" t="n"/>
      <c r="K481" s="13" t="n"/>
      <c r="L481" s="13" t="n"/>
      <c r="M481" s="17">
        <f>IF(A481="","",IFERROR(VLOOKUP(A481,Raw_CurrentMonth!A:O,15,FALSE)=TRUE,FALSE))</f>
        <v/>
      </c>
      <c r="N481" s="16">
        <f>IF(A481="","",IF(M481=TRUE,IFERROR(H481,0)+IFERROR(I481,0)+IFERROR(J481,0)+IFERROR(K481,0)+IFERROR(L481,0),0))</f>
        <v/>
      </c>
      <c r="O481" s="16">
        <f>IF(A481="","",IF(M481=TRUE,IFERROR(H481,0),0))</f>
        <v/>
      </c>
      <c r="P481" s="16">
        <f>IF(A481="","",IF(M481=TRUE,IFERROR(I481,0),0))</f>
        <v/>
      </c>
      <c r="Q481" s="16">
        <f>IF(A481="","",IF(M481=TRUE,IFERROR(J481,0),0))</f>
        <v/>
      </c>
      <c r="R481" s="16">
        <f>IF(A481="","",IF(M481=TRUE,IFERROR(K481,0),0))</f>
        <v/>
      </c>
      <c r="S481" s="16">
        <f>IF(A481="","",IF(M481=TRUE,IFERROR(L481,0),0))</f>
        <v/>
      </c>
      <c r="T481" s="16">
        <f>IF(A481="","",IF(M481=TRUE,IFERROR(H481,0)+IFERROR(I481,0)+IFERROR(L481,0),0))</f>
        <v/>
      </c>
    </row>
    <row r="482">
      <c r="A482" s="10" t="n"/>
      <c r="B482" s="10" t="n"/>
      <c r="C482" s="11" t="n"/>
      <c r="D482" s="11" t="n"/>
      <c r="E482" s="10" t="n"/>
      <c r="F482" s="10" t="n"/>
      <c r="G482" s="12" t="n"/>
      <c r="H482" s="13" t="n"/>
      <c r="I482" s="13" t="n"/>
      <c r="J482" s="13" t="n"/>
      <c r="K482" s="13" t="n"/>
      <c r="L482" s="13" t="n"/>
      <c r="M482" s="17">
        <f>IF(A482="","",IFERROR(VLOOKUP(A482,Raw_CurrentMonth!A:O,15,FALSE)=TRUE,FALSE))</f>
        <v/>
      </c>
      <c r="N482" s="16">
        <f>IF(A482="","",IF(M482=TRUE,IFERROR(H482,0)+IFERROR(I482,0)+IFERROR(J482,0)+IFERROR(K482,0)+IFERROR(L482,0),0))</f>
        <v/>
      </c>
      <c r="O482" s="16">
        <f>IF(A482="","",IF(M482=TRUE,IFERROR(H482,0),0))</f>
        <v/>
      </c>
      <c r="P482" s="16">
        <f>IF(A482="","",IF(M482=TRUE,IFERROR(I482,0),0))</f>
        <v/>
      </c>
      <c r="Q482" s="16">
        <f>IF(A482="","",IF(M482=TRUE,IFERROR(J482,0),0))</f>
        <v/>
      </c>
      <c r="R482" s="16">
        <f>IF(A482="","",IF(M482=TRUE,IFERROR(K482,0),0))</f>
        <v/>
      </c>
      <c r="S482" s="16">
        <f>IF(A482="","",IF(M482=TRUE,IFERROR(L482,0),0))</f>
        <v/>
      </c>
      <c r="T482" s="16">
        <f>IF(A482="","",IF(M482=TRUE,IFERROR(H482,0)+IFERROR(I482,0)+IFERROR(L482,0),0))</f>
        <v/>
      </c>
    </row>
    <row r="483">
      <c r="A483" s="10" t="n"/>
      <c r="B483" s="10" t="n"/>
      <c r="C483" s="11" t="n"/>
      <c r="D483" s="11" t="n"/>
      <c r="E483" s="10" t="n"/>
      <c r="F483" s="10" t="n"/>
      <c r="G483" s="12" t="n"/>
      <c r="H483" s="13" t="n"/>
      <c r="I483" s="13" t="n"/>
      <c r="J483" s="13" t="n"/>
      <c r="K483" s="13" t="n"/>
      <c r="L483" s="13" t="n"/>
      <c r="M483" s="17">
        <f>IF(A483="","",IFERROR(VLOOKUP(A483,Raw_CurrentMonth!A:O,15,FALSE)=TRUE,FALSE))</f>
        <v/>
      </c>
      <c r="N483" s="16">
        <f>IF(A483="","",IF(M483=TRUE,IFERROR(H483,0)+IFERROR(I483,0)+IFERROR(J483,0)+IFERROR(K483,0)+IFERROR(L483,0),0))</f>
        <v/>
      </c>
      <c r="O483" s="16">
        <f>IF(A483="","",IF(M483=TRUE,IFERROR(H483,0),0))</f>
        <v/>
      </c>
      <c r="P483" s="16">
        <f>IF(A483="","",IF(M483=TRUE,IFERROR(I483,0),0))</f>
        <v/>
      </c>
      <c r="Q483" s="16">
        <f>IF(A483="","",IF(M483=TRUE,IFERROR(J483,0),0))</f>
        <v/>
      </c>
      <c r="R483" s="16">
        <f>IF(A483="","",IF(M483=TRUE,IFERROR(K483,0),0))</f>
        <v/>
      </c>
      <c r="S483" s="16">
        <f>IF(A483="","",IF(M483=TRUE,IFERROR(L483,0),0))</f>
        <v/>
      </c>
      <c r="T483" s="16">
        <f>IF(A483="","",IF(M483=TRUE,IFERROR(H483,0)+IFERROR(I483,0)+IFERROR(L483,0),0))</f>
        <v/>
      </c>
    </row>
    <row r="484">
      <c r="A484" s="10" t="n"/>
      <c r="B484" s="10" t="n"/>
      <c r="C484" s="11" t="n"/>
      <c r="D484" s="11" t="n"/>
      <c r="E484" s="10" t="n"/>
      <c r="F484" s="10" t="n"/>
      <c r="G484" s="12" t="n"/>
      <c r="H484" s="13" t="n"/>
      <c r="I484" s="13" t="n"/>
      <c r="J484" s="13" t="n"/>
      <c r="K484" s="13" t="n"/>
      <c r="L484" s="13" t="n"/>
      <c r="M484" s="17">
        <f>IF(A484="","",IFERROR(VLOOKUP(A484,Raw_CurrentMonth!A:O,15,FALSE)=TRUE,FALSE))</f>
        <v/>
      </c>
      <c r="N484" s="16">
        <f>IF(A484="","",IF(M484=TRUE,IFERROR(H484,0)+IFERROR(I484,0)+IFERROR(J484,0)+IFERROR(K484,0)+IFERROR(L484,0),0))</f>
        <v/>
      </c>
      <c r="O484" s="16">
        <f>IF(A484="","",IF(M484=TRUE,IFERROR(H484,0),0))</f>
        <v/>
      </c>
      <c r="P484" s="16">
        <f>IF(A484="","",IF(M484=TRUE,IFERROR(I484,0),0))</f>
        <v/>
      </c>
      <c r="Q484" s="16">
        <f>IF(A484="","",IF(M484=TRUE,IFERROR(J484,0),0))</f>
        <v/>
      </c>
      <c r="R484" s="16">
        <f>IF(A484="","",IF(M484=TRUE,IFERROR(K484,0),0))</f>
        <v/>
      </c>
      <c r="S484" s="16">
        <f>IF(A484="","",IF(M484=TRUE,IFERROR(L484,0),0))</f>
        <v/>
      </c>
      <c r="T484" s="16">
        <f>IF(A484="","",IF(M484=TRUE,IFERROR(H484,0)+IFERROR(I484,0)+IFERROR(L484,0),0))</f>
        <v/>
      </c>
    </row>
    <row r="485">
      <c r="A485" s="10" t="n"/>
      <c r="B485" s="10" t="n"/>
      <c r="C485" s="11" t="n"/>
      <c r="D485" s="11" t="n"/>
      <c r="E485" s="10" t="n"/>
      <c r="F485" s="10" t="n"/>
      <c r="G485" s="12" t="n"/>
      <c r="H485" s="13" t="n"/>
      <c r="I485" s="13" t="n"/>
      <c r="J485" s="13" t="n"/>
      <c r="K485" s="13" t="n"/>
      <c r="L485" s="13" t="n"/>
      <c r="M485" s="17">
        <f>IF(A485="","",IFERROR(VLOOKUP(A485,Raw_CurrentMonth!A:O,15,FALSE)=TRUE,FALSE))</f>
        <v/>
      </c>
      <c r="N485" s="16">
        <f>IF(A485="","",IF(M485=TRUE,IFERROR(H485,0)+IFERROR(I485,0)+IFERROR(J485,0)+IFERROR(K485,0)+IFERROR(L485,0),0))</f>
        <v/>
      </c>
      <c r="O485" s="16">
        <f>IF(A485="","",IF(M485=TRUE,IFERROR(H485,0),0))</f>
        <v/>
      </c>
      <c r="P485" s="16">
        <f>IF(A485="","",IF(M485=TRUE,IFERROR(I485,0),0))</f>
        <v/>
      </c>
      <c r="Q485" s="16">
        <f>IF(A485="","",IF(M485=TRUE,IFERROR(J485,0),0))</f>
        <v/>
      </c>
      <c r="R485" s="16">
        <f>IF(A485="","",IF(M485=TRUE,IFERROR(K485,0),0))</f>
        <v/>
      </c>
      <c r="S485" s="16">
        <f>IF(A485="","",IF(M485=TRUE,IFERROR(L485,0),0))</f>
        <v/>
      </c>
      <c r="T485" s="16">
        <f>IF(A485="","",IF(M485=TRUE,IFERROR(H485,0)+IFERROR(I485,0)+IFERROR(L485,0),0))</f>
        <v/>
      </c>
    </row>
    <row r="486">
      <c r="A486" s="10" t="n"/>
      <c r="B486" s="10" t="n"/>
      <c r="C486" s="11" t="n"/>
      <c r="D486" s="11" t="n"/>
      <c r="E486" s="10" t="n"/>
      <c r="F486" s="10" t="n"/>
      <c r="G486" s="12" t="n"/>
      <c r="H486" s="13" t="n"/>
      <c r="I486" s="13" t="n"/>
      <c r="J486" s="13" t="n"/>
      <c r="K486" s="13" t="n"/>
      <c r="L486" s="13" t="n"/>
      <c r="M486" s="17">
        <f>IF(A486="","",IFERROR(VLOOKUP(A486,Raw_CurrentMonth!A:O,15,FALSE)=TRUE,FALSE))</f>
        <v/>
      </c>
      <c r="N486" s="16">
        <f>IF(A486="","",IF(M486=TRUE,IFERROR(H486,0)+IFERROR(I486,0)+IFERROR(J486,0)+IFERROR(K486,0)+IFERROR(L486,0),0))</f>
        <v/>
      </c>
      <c r="O486" s="16">
        <f>IF(A486="","",IF(M486=TRUE,IFERROR(H486,0),0))</f>
        <v/>
      </c>
      <c r="P486" s="16">
        <f>IF(A486="","",IF(M486=TRUE,IFERROR(I486,0),0))</f>
        <v/>
      </c>
      <c r="Q486" s="16">
        <f>IF(A486="","",IF(M486=TRUE,IFERROR(J486,0),0))</f>
        <v/>
      </c>
      <c r="R486" s="16">
        <f>IF(A486="","",IF(M486=TRUE,IFERROR(K486,0),0))</f>
        <v/>
      </c>
      <c r="S486" s="16">
        <f>IF(A486="","",IF(M486=TRUE,IFERROR(L486,0),0))</f>
        <v/>
      </c>
      <c r="T486" s="16">
        <f>IF(A486="","",IF(M486=TRUE,IFERROR(H486,0)+IFERROR(I486,0)+IFERROR(L486,0),0))</f>
        <v/>
      </c>
    </row>
    <row r="487">
      <c r="A487" s="10" t="n"/>
      <c r="B487" s="10" t="n"/>
      <c r="C487" s="11" t="n"/>
      <c r="D487" s="11" t="n"/>
      <c r="E487" s="10" t="n"/>
      <c r="F487" s="10" t="n"/>
      <c r="G487" s="12" t="n"/>
      <c r="H487" s="13" t="n"/>
      <c r="I487" s="13" t="n"/>
      <c r="J487" s="13" t="n"/>
      <c r="K487" s="13" t="n"/>
      <c r="L487" s="13" t="n"/>
      <c r="M487" s="17">
        <f>IF(A487="","",IFERROR(VLOOKUP(A487,Raw_CurrentMonth!A:O,15,FALSE)=TRUE,FALSE))</f>
        <v/>
      </c>
      <c r="N487" s="16">
        <f>IF(A487="","",IF(M487=TRUE,IFERROR(H487,0)+IFERROR(I487,0)+IFERROR(J487,0)+IFERROR(K487,0)+IFERROR(L487,0),0))</f>
        <v/>
      </c>
      <c r="O487" s="16">
        <f>IF(A487="","",IF(M487=TRUE,IFERROR(H487,0),0))</f>
        <v/>
      </c>
      <c r="P487" s="16">
        <f>IF(A487="","",IF(M487=TRUE,IFERROR(I487,0),0))</f>
        <v/>
      </c>
      <c r="Q487" s="16">
        <f>IF(A487="","",IF(M487=TRUE,IFERROR(J487,0),0))</f>
        <v/>
      </c>
      <c r="R487" s="16">
        <f>IF(A487="","",IF(M487=TRUE,IFERROR(K487,0),0))</f>
        <v/>
      </c>
      <c r="S487" s="16">
        <f>IF(A487="","",IF(M487=TRUE,IFERROR(L487,0),0))</f>
        <v/>
      </c>
      <c r="T487" s="16">
        <f>IF(A487="","",IF(M487=TRUE,IFERROR(H487,0)+IFERROR(I487,0)+IFERROR(L487,0),0))</f>
        <v/>
      </c>
    </row>
    <row r="488">
      <c r="A488" s="10" t="n"/>
      <c r="B488" s="10" t="n"/>
      <c r="C488" s="11" t="n"/>
      <c r="D488" s="11" t="n"/>
      <c r="E488" s="10" t="n"/>
      <c r="F488" s="10" t="n"/>
      <c r="G488" s="12" t="n"/>
      <c r="H488" s="13" t="n"/>
      <c r="I488" s="13" t="n"/>
      <c r="J488" s="13" t="n"/>
      <c r="K488" s="13" t="n"/>
      <c r="L488" s="13" t="n"/>
      <c r="M488" s="17">
        <f>IF(A488="","",IFERROR(VLOOKUP(A488,Raw_CurrentMonth!A:O,15,FALSE)=TRUE,FALSE))</f>
        <v/>
      </c>
      <c r="N488" s="16">
        <f>IF(A488="","",IF(M488=TRUE,IFERROR(H488,0)+IFERROR(I488,0)+IFERROR(J488,0)+IFERROR(K488,0)+IFERROR(L488,0),0))</f>
        <v/>
      </c>
      <c r="O488" s="16">
        <f>IF(A488="","",IF(M488=TRUE,IFERROR(H488,0),0))</f>
        <v/>
      </c>
      <c r="P488" s="16">
        <f>IF(A488="","",IF(M488=TRUE,IFERROR(I488,0),0))</f>
        <v/>
      </c>
      <c r="Q488" s="16">
        <f>IF(A488="","",IF(M488=TRUE,IFERROR(J488,0),0))</f>
        <v/>
      </c>
      <c r="R488" s="16">
        <f>IF(A488="","",IF(M488=TRUE,IFERROR(K488,0),0))</f>
        <v/>
      </c>
      <c r="S488" s="16">
        <f>IF(A488="","",IF(M488=TRUE,IFERROR(L488,0),0))</f>
        <v/>
      </c>
      <c r="T488" s="16">
        <f>IF(A488="","",IF(M488=TRUE,IFERROR(H488,0)+IFERROR(I488,0)+IFERROR(L488,0),0))</f>
        <v/>
      </c>
    </row>
    <row r="489">
      <c r="A489" s="10" t="n"/>
      <c r="B489" s="10" t="n"/>
      <c r="C489" s="11" t="n"/>
      <c r="D489" s="11" t="n"/>
      <c r="E489" s="10" t="n"/>
      <c r="F489" s="10" t="n"/>
      <c r="G489" s="12" t="n"/>
      <c r="H489" s="13" t="n"/>
      <c r="I489" s="13" t="n"/>
      <c r="J489" s="13" t="n"/>
      <c r="K489" s="13" t="n"/>
      <c r="L489" s="13" t="n"/>
      <c r="M489" s="17">
        <f>IF(A489="","",IFERROR(VLOOKUP(A489,Raw_CurrentMonth!A:O,15,FALSE)=TRUE,FALSE))</f>
        <v/>
      </c>
      <c r="N489" s="16">
        <f>IF(A489="","",IF(M489=TRUE,IFERROR(H489,0)+IFERROR(I489,0)+IFERROR(J489,0)+IFERROR(K489,0)+IFERROR(L489,0),0))</f>
        <v/>
      </c>
      <c r="O489" s="16">
        <f>IF(A489="","",IF(M489=TRUE,IFERROR(H489,0),0))</f>
        <v/>
      </c>
      <c r="P489" s="16">
        <f>IF(A489="","",IF(M489=TRUE,IFERROR(I489,0),0))</f>
        <v/>
      </c>
      <c r="Q489" s="16">
        <f>IF(A489="","",IF(M489=TRUE,IFERROR(J489,0),0))</f>
        <v/>
      </c>
      <c r="R489" s="16">
        <f>IF(A489="","",IF(M489=TRUE,IFERROR(K489,0),0))</f>
        <v/>
      </c>
      <c r="S489" s="16">
        <f>IF(A489="","",IF(M489=TRUE,IFERROR(L489,0),0))</f>
        <v/>
      </c>
      <c r="T489" s="16">
        <f>IF(A489="","",IF(M489=TRUE,IFERROR(H489,0)+IFERROR(I489,0)+IFERROR(L489,0),0))</f>
        <v/>
      </c>
    </row>
    <row r="490">
      <c r="A490" s="10" t="n"/>
      <c r="B490" s="10" t="n"/>
      <c r="C490" s="11" t="n"/>
      <c r="D490" s="11" t="n"/>
      <c r="E490" s="10" t="n"/>
      <c r="F490" s="10" t="n"/>
      <c r="G490" s="12" t="n"/>
      <c r="H490" s="13" t="n"/>
      <c r="I490" s="13" t="n"/>
      <c r="J490" s="13" t="n"/>
      <c r="K490" s="13" t="n"/>
      <c r="L490" s="13" t="n"/>
      <c r="M490" s="17">
        <f>IF(A490="","",IFERROR(VLOOKUP(A490,Raw_CurrentMonth!A:O,15,FALSE)=TRUE,FALSE))</f>
        <v/>
      </c>
      <c r="N490" s="16">
        <f>IF(A490="","",IF(M490=TRUE,IFERROR(H490,0)+IFERROR(I490,0)+IFERROR(J490,0)+IFERROR(K490,0)+IFERROR(L490,0),0))</f>
        <v/>
      </c>
      <c r="O490" s="16">
        <f>IF(A490="","",IF(M490=TRUE,IFERROR(H490,0),0))</f>
        <v/>
      </c>
      <c r="P490" s="16">
        <f>IF(A490="","",IF(M490=TRUE,IFERROR(I490,0),0))</f>
        <v/>
      </c>
      <c r="Q490" s="16">
        <f>IF(A490="","",IF(M490=TRUE,IFERROR(J490,0),0))</f>
        <v/>
      </c>
      <c r="R490" s="16">
        <f>IF(A490="","",IF(M490=TRUE,IFERROR(K490,0),0))</f>
        <v/>
      </c>
      <c r="S490" s="16">
        <f>IF(A490="","",IF(M490=TRUE,IFERROR(L490,0),0))</f>
        <v/>
      </c>
      <c r="T490" s="16">
        <f>IF(A490="","",IF(M490=TRUE,IFERROR(H490,0)+IFERROR(I490,0)+IFERROR(L490,0),0))</f>
        <v/>
      </c>
    </row>
    <row r="491">
      <c r="A491" s="10" t="n"/>
      <c r="B491" s="10" t="n"/>
      <c r="C491" s="11" t="n"/>
      <c r="D491" s="11" t="n"/>
      <c r="E491" s="10" t="n"/>
      <c r="F491" s="10" t="n"/>
      <c r="G491" s="12" t="n"/>
      <c r="H491" s="13" t="n"/>
      <c r="I491" s="13" t="n"/>
      <c r="J491" s="13" t="n"/>
      <c r="K491" s="13" t="n"/>
      <c r="L491" s="13" t="n"/>
      <c r="M491" s="17">
        <f>IF(A491="","",IFERROR(VLOOKUP(A491,Raw_CurrentMonth!A:O,15,FALSE)=TRUE,FALSE))</f>
        <v/>
      </c>
      <c r="N491" s="16">
        <f>IF(A491="","",IF(M491=TRUE,IFERROR(H491,0)+IFERROR(I491,0)+IFERROR(J491,0)+IFERROR(K491,0)+IFERROR(L491,0),0))</f>
        <v/>
      </c>
      <c r="O491" s="16">
        <f>IF(A491="","",IF(M491=TRUE,IFERROR(H491,0),0))</f>
        <v/>
      </c>
      <c r="P491" s="16">
        <f>IF(A491="","",IF(M491=TRUE,IFERROR(I491,0),0))</f>
        <v/>
      </c>
      <c r="Q491" s="16">
        <f>IF(A491="","",IF(M491=TRUE,IFERROR(J491,0),0))</f>
        <v/>
      </c>
      <c r="R491" s="16">
        <f>IF(A491="","",IF(M491=TRUE,IFERROR(K491,0),0))</f>
        <v/>
      </c>
      <c r="S491" s="16">
        <f>IF(A491="","",IF(M491=TRUE,IFERROR(L491,0),0))</f>
        <v/>
      </c>
      <c r="T491" s="16">
        <f>IF(A491="","",IF(M491=TRUE,IFERROR(H491,0)+IFERROR(I491,0)+IFERROR(L491,0),0))</f>
        <v/>
      </c>
    </row>
    <row r="492">
      <c r="A492" s="10" t="n"/>
      <c r="B492" s="10" t="n"/>
      <c r="C492" s="11" t="n"/>
      <c r="D492" s="11" t="n"/>
      <c r="E492" s="10" t="n"/>
      <c r="F492" s="10" t="n"/>
      <c r="G492" s="12" t="n"/>
      <c r="H492" s="13" t="n"/>
      <c r="I492" s="13" t="n"/>
      <c r="J492" s="13" t="n"/>
      <c r="K492" s="13" t="n"/>
      <c r="L492" s="13" t="n"/>
      <c r="M492" s="17">
        <f>IF(A492="","",IFERROR(VLOOKUP(A492,Raw_CurrentMonth!A:O,15,FALSE)=TRUE,FALSE))</f>
        <v/>
      </c>
      <c r="N492" s="16">
        <f>IF(A492="","",IF(M492=TRUE,IFERROR(H492,0)+IFERROR(I492,0)+IFERROR(J492,0)+IFERROR(K492,0)+IFERROR(L492,0),0))</f>
        <v/>
      </c>
      <c r="O492" s="16">
        <f>IF(A492="","",IF(M492=TRUE,IFERROR(H492,0),0))</f>
        <v/>
      </c>
      <c r="P492" s="16">
        <f>IF(A492="","",IF(M492=TRUE,IFERROR(I492,0),0))</f>
        <v/>
      </c>
      <c r="Q492" s="16">
        <f>IF(A492="","",IF(M492=TRUE,IFERROR(J492,0),0))</f>
        <v/>
      </c>
      <c r="R492" s="16">
        <f>IF(A492="","",IF(M492=TRUE,IFERROR(K492,0),0))</f>
        <v/>
      </c>
      <c r="S492" s="16">
        <f>IF(A492="","",IF(M492=TRUE,IFERROR(L492,0),0))</f>
        <v/>
      </c>
      <c r="T492" s="16">
        <f>IF(A492="","",IF(M492=TRUE,IFERROR(H492,0)+IFERROR(I492,0)+IFERROR(L492,0),0))</f>
        <v/>
      </c>
    </row>
    <row r="493">
      <c r="A493" s="10" t="n"/>
      <c r="B493" s="10" t="n"/>
      <c r="C493" s="11" t="n"/>
      <c r="D493" s="11" t="n"/>
      <c r="E493" s="10" t="n"/>
      <c r="F493" s="10" t="n"/>
      <c r="G493" s="12" t="n"/>
      <c r="H493" s="13" t="n"/>
      <c r="I493" s="13" t="n"/>
      <c r="J493" s="13" t="n"/>
      <c r="K493" s="13" t="n"/>
      <c r="L493" s="13" t="n"/>
      <c r="M493" s="17">
        <f>IF(A493="","",IFERROR(VLOOKUP(A493,Raw_CurrentMonth!A:O,15,FALSE)=TRUE,FALSE))</f>
        <v/>
      </c>
      <c r="N493" s="16">
        <f>IF(A493="","",IF(M493=TRUE,IFERROR(H493,0)+IFERROR(I493,0)+IFERROR(J493,0)+IFERROR(K493,0)+IFERROR(L493,0),0))</f>
        <v/>
      </c>
      <c r="O493" s="16">
        <f>IF(A493="","",IF(M493=TRUE,IFERROR(H493,0),0))</f>
        <v/>
      </c>
      <c r="P493" s="16">
        <f>IF(A493="","",IF(M493=TRUE,IFERROR(I493,0),0))</f>
        <v/>
      </c>
      <c r="Q493" s="16">
        <f>IF(A493="","",IF(M493=TRUE,IFERROR(J493,0),0))</f>
        <v/>
      </c>
      <c r="R493" s="16">
        <f>IF(A493="","",IF(M493=TRUE,IFERROR(K493,0),0))</f>
        <v/>
      </c>
      <c r="S493" s="16">
        <f>IF(A493="","",IF(M493=TRUE,IFERROR(L493,0),0))</f>
        <v/>
      </c>
      <c r="T493" s="16">
        <f>IF(A493="","",IF(M493=TRUE,IFERROR(H493,0)+IFERROR(I493,0)+IFERROR(L493,0),0))</f>
        <v/>
      </c>
    </row>
    <row r="494">
      <c r="A494" s="10" t="n"/>
      <c r="B494" s="10" t="n"/>
      <c r="C494" s="11" t="n"/>
      <c r="D494" s="11" t="n"/>
      <c r="E494" s="10" t="n"/>
      <c r="F494" s="10" t="n"/>
      <c r="G494" s="12" t="n"/>
      <c r="H494" s="13" t="n"/>
      <c r="I494" s="13" t="n"/>
      <c r="J494" s="13" t="n"/>
      <c r="K494" s="13" t="n"/>
      <c r="L494" s="13" t="n"/>
      <c r="M494" s="17">
        <f>IF(A494="","",IFERROR(VLOOKUP(A494,Raw_CurrentMonth!A:O,15,FALSE)=TRUE,FALSE))</f>
        <v/>
      </c>
      <c r="N494" s="16">
        <f>IF(A494="","",IF(M494=TRUE,IFERROR(H494,0)+IFERROR(I494,0)+IFERROR(J494,0)+IFERROR(K494,0)+IFERROR(L494,0),0))</f>
        <v/>
      </c>
      <c r="O494" s="16">
        <f>IF(A494="","",IF(M494=TRUE,IFERROR(H494,0),0))</f>
        <v/>
      </c>
      <c r="P494" s="16">
        <f>IF(A494="","",IF(M494=TRUE,IFERROR(I494,0),0))</f>
        <v/>
      </c>
      <c r="Q494" s="16">
        <f>IF(A494="","",IF(M494=TRUE,IFERROR(J494,0),0))</f>
        <v/>
      </c>
      <c r="R494" s="16">
        <f>IF(A494="","",IF(M494=TRUE,IFERROR(K494,0),0))</f>
        <v/>
      </c>
      <c r="S494" s="16">
        <f>IF(A494="","",IF(M494=TRUE,IFERROR(L494,0),0))</f>
        <v/>
      </c>
      <c r="T494" s="16">
        <f>IF(A494="","",IF(M494=TRUE,IFERROR(H494,0)+IFERROR(I494,0)+IFERROR(L494,0),0))</f>
        <v/>
      </c>
    </row>
    <row r="495">
      <c r="A495" s="10" t="n"/>
      <c r="B495" s="10" t="n"/>
      <c r="C495" s="11" t="n"/>
      <c r="D495" s="11" t="n"/>
      <c r="E495" s="10" t="n"/>
      <c r="F495" s="10" t="n"/>
      <c r="G495" s="12" t="n"/>
      <c r="H495" s="13" t="n"/>
      <c r="I495" s="13" t="n"/>
      <c r="J495" s="13" t="n"/>
      <c r="K495" s="13" t="n"/>
      <c r="L495" s="13" t="n"/>
      <c r="M495" s="17">
        <f>IF(A495="","",IFERROR(VLOOKUP(A495,Raw_CurrentMonth!A:O,15,FALSE)=TRUE,FALSE))</f>
        <v/>
      </c>
      <c r="N495" s="16">
        <f>IF(A495="","",IF(M495=TRUE,IFERROR(H495,0)+IFERROR(I495,0)+IFERROR(J495,0)+IFERROR(K495,0)+IFERROR(L495,0),0))</f>
        <v/>
      </c>
      <c r="O495" s="16">
        <f>IF(A495="","",IF(M495=TRUE,IFERROR(H495,0),0))</f>
        <v/>
      </c>
      <c r="P495" s="16">
        <f>IF(A495="","",IF(M495=TRUE,IFERROR(I495,0),0))</f>
        <v/>
      </c>
      <c r="Q495" s="16">
        <f>IF(A495="","",IF(M495=TRUE,IFERROR(J495,0),0))</f>
        <v/>
      </c>
      <c r="R495" s="16">
        <f>IF(A495="","",IF(M495=TRUE,IFERROR(K495,0),0))</f>
        <v/>
      </c>
      <c r="S495" s="16">
        <f>IF(A495="","",IF(M495=TRUE,IFERROR(L495,0),0))</f>
        <v/>
      </c>
      <c r="T495" s="16">
        <f>IF(A495="","",IF(M495=TRUE,IFERROR(H495,0)+IFERROR(I495,0)+IFERROR(L495,0),0))</f>
        <v/>
      </c>
    </row>
    <row r="496">
      <c r="A496" s="10" t="n"/>
      <c r="B496" s="10" t="n"/>
      <c r="C496" s="11" t="n"/>
      <c r="D496" s="11" t="n"/>
      <c r="E496" s="10" t="n"/>
      <c r="F496" s="10" t="n"/>
      <c r="G496" s="12" t="n"/>
      <c r="H496" s="13" t="n"/>
      <c r="I496" s="13" t="n"/>
      <c r="J496" s="13" t="n"/>
      <c r="K496" s="13" t="n"/>
      <c r="L496" s="13" t="n"/>
      <c r="M496" s="17">
        <f>IF(A496="","",IFERROR(VLOOKUP(A496,Raw_CurrentMonth!A:O,15,FALSE)=TRUE,FALSE))</f>
        <v/>
      </c>
      <c r="N496" s="16">
        <f>IF(A496="","",IF(M496=TRUE,IFERROR(H496,0)+IFERROR(I496,0)+IFERROR(J496,0)+IFERROR(K496,0)+IFERROR(L496,0),0))</f>
        <v/>
      </c>
      <c r="O496" s="16">
        <f>IF(A496="","",IF(M496=TRUE,IFERROR(H496,0),0))</f>
        <v/>
      </c>
      <c r="P496" s="16">
        <f>IF(A496="","",IF(M496=TRUE,IFERROR(I496,0),0))</f>
        <v/>
      </c>
      <c r="Q496" s="16">
        <f>IF(A496="","",IF(M496=TRUE,IFERROR(J496,0),0))</f>
        <v/>
      </c>
      <c r="R496" s="16">
        <f>IF(A496="","",IF(M496=TRUE,IFERROR(K496,0),0))</f>
        <v/>
      </c>
      <c r="S496" s="16">
        <f>IF(A496="","",IF(M496=TRUE,IFERROR(L496,0),0))</f>
        <v/>
      </c>
      <c r="T496" s="16">
        <f>IF(A496="","",IF(M496=TRUE,IFERROR(H496,0)+IFERROR(I496,0)+IFERROR(L496,0),0))</f>
        <v/>
      </c>
    </row>
    <row r="497">
      <c r="A497" s="10" t="n"/>
      <c r="B497" s="10" t="n"/>
      <c r="C497" s="11" t="n"/>
      <c r="D497" s="11" t="n"/>
      <c r="E497" s="10" t="n"/>
      <c r="F497" s="10" t="n"/>
      <c r="G497" s="12" t="n"/>
      <c r="H497" s="13" t="n"/>
      <c r="I497" s="13" t="n"/>
      <c r="J497" s="13" t="n"/>
      <c r="K497" s="13" t="n"/>
      <c r="L497" s="13" t="n"/>
      <c r="M497" s="17">
        <f>IF(A497="","",IFERROR(VLOOKUP(A497,Raw_CurrentMonth!A:O,15,FALSE)=TRUE,FALSE))</f>
        <v/>
      </c>
      <c r="N497" s="16">
        <f>IF(A497="","",IF(M497=TRUE,IFERROR(H497,0)+IFERROR(I497,0)+IFERROR(J497,0)+IFERROR(K497,0)+IFERROR(L497,0),0))</f>
        <v/>
      </c>
      <c r="O497" s="16">
        <f>IF(A497="","",IF(M497=TRUE,IFERROR(H497,0),0))</f>
        <v/>
      </c>
      <c r="P497" s="16">
        <f>IF(A497="","",IF(M497=TRUE,IFERROR(I497,0),0))</f>
        <v/>
      </c>
      <c r="Q497" s="16">
        <f>IF(A497="","",IF(M497=TRUE,IFERROR(J497,0),0))</f>
        <v/>
      </c>
      <c r="R497" s="16">
        <f>IF(A497="","",IF(M497=TRUE,IFERROR(K497,0),0))</f>
        <v/>
      </c>
      <c r="S497" s="16">
        <f>IF(A497="","",IF(M497=TRUE,IFERROR(L497,0),0))</f>
        <v/>
      </c>
      <c r="T497" s="16">
        <f>IF(A497="","",IF(M497=TRUE,IFERROR(H497,0)+IFERROR(I497,0)+IFERROR(L497,0),0))</f>
        <v/>
      </c>
    </row>
    <row r="498">
      <c r="A498" s="10" t="n"/>
      <c r="B498" s="10" t="n"/>
      <c r="C498" s="11" t="n"/>
      <c r="D498" s="11" t="n"/>
      <c r="E498" s="10" t="n"/>
      <c r="F498" s="10" t="n"/>
      <c r="G498" s="12" t="n"/>
      <c r="H498" s="13" t="n"/>
      <c r="I498" s="13" t="n"/>
      <c r="J498" s="13" t="n"/>
      <c r="K498" s="13" t="n"/>
      <c r="L498" s="13" t="n"/>
      <c r="M498" s="17">
        <f>IF(A498="","",IFERROR(VLOOKUP(A498,Raw_CurrentMonth!A:O,15,FALSE)=TRUE,FALSE))</f>
        <v/>
      </c>
      <c r="N498" s="16">
        <f>IF(A498="","",IF(M498=TRUE,IFERROR(H498,0)+IFERROR(I498,0)+IFERROR(J498,0)+IFERROR(K498,0)+IFERROR(L498,0),0))</f>
        <v/>
      </c>
      <c r="O498" s="16">
        <f>IF(A498="","",IF(M498=TRUE,IFERROR(H498,0),0))</f>
        <v/>
      </c>
      <c r="P498" s="16">
        <f>IF(A498="","",IF(M498=TRUE,IFERROR(I498,0),0))</f>
        <v/>
      </c>
      <c r="Q498" s="16">
        <f>IF(A498="","",IF(M498=TRUE,IFERROR(J498,0),0))</f>
        <v/>
      </c>
      <c r="R498" s="16">
        <f>IF(A498="","",IF(M498=TRUE,IFERROR(K498,0),0))</f>
        <v/>
      </c>
      <c r="S498" s="16">
        <f>IF(A498="","",IF(M498=TRUE,IFERROR(L498,0),0))</f>
        <v/>
      </c>
      <c r="T498" s="16">
        <f>IF(A498="","",IF(M498=TRUE,IFERROR(H498,0)+IFERROR(I498,0)+IFERROR(L498,0),0))</f>
        <v/>
      </c>
    </row>
    <row r="499">
      <c r="A499" s="10" t="n"/>
      <c r="B499" s="10" t="n"/>
      <c r="C499" s="11" t="n"/>
      <c r="D499" s="11" t="n"/>
      <c r="E499" s="10" t="n"/>
      <c r="F499" s="10" t="n"/>
      <c r="G499" s="12" t="n"/>
      <c r="H499" s="13" t="n"/>
      <c r="I499" s="13" t="n"/>
      <c r="J499" s="13" t="n"/>
      <c r="K499" s="13" t="n"/>
      <c r="L499" s="13" t="n"/>
      <c r="M499" s="17">
        <f>IF(A499="","",IFERROR(VLOOKUP(A499,Raw_CurrentMonth!A:O,15,FALSE)=TRUE,FALSE))</f>
        <v/>
      </c>
      <c r="N499" s="16">
        <f>IF(A499="","",IF(M499=TRUE,IFERROR(H499,0)+IFERROR(I499,0)+IFERROR(J499,0)+IFERROR(K499,0)+IFERROR(L499,0),0))</f>
        <v/>
      </c>
      <c r="O499" s="16">
        <f>IF(A499="","",IF(M499=TRUE,IFERROR(H499,0),0))</f>
        <v/>
      </c>
      <c r="P499" s="16">
        <f>IF(A499="","",IF(M499=TRUE,IFERROR(I499,0),0))</f>
        <v/>
      </c>
      <c r="Q499" s="16">
        <f>IF(A499="","",IF(M499=TRUE,IFERROR(J499,0),0))</f>
        <v/>
      </c>
      <c r="R499" s="16">
        <f>IF(A499="","",IF(M499=TRUE,IFERROR(K499,0),0))</f>
        <v/>
      </c>
      <c r="S499" s="16">
        <f>IF(A499="","",IF(M499=TRUE,IFERROR(L499,0),0))</f>
        <v/>
      </c>
      <c r="T499" s="16">
        <f>IF(A499="","",IF(M499=TRUE,IFERROR(H499,0)+IFERROR(I499,0)+IFERROR(L499,0),0))</f>
        <v/>
      </c>
    </row>
    <row r="500">
      <c r="A500" s="10" t="n"/>
      <c r="B500" s="10" t="n"/>
      <c r="C500" s="11" t="n"/>
      <c r="D500" s="11" t="n"/>
      <c r="E500" s="10" t="n"/>
      <c r="F500" s="10" t="n"/>
      <c r="G500" s="12" t="n"/>
      <c r="H500" s="13" t="n"/>
      <c r="I500" s="13" t="n"/>
      <c r="J500" s="13" t="n"/>
      <c r="K500" s="13" t="n"/>
      <c r="L500" s="13" t="n"/>
      <c r="M500" s="17">
        <f>IF(A500="","",IFERROR(VLOOKUP(A500,Raw_CurrentMonth!A:O,15,FALSE)=TRUE,FALSE))</f>
        <v/>
      </c>
      <c r="N500" s="16">
        <f>IF(A500="","",IF(M500=TRUE,IFERROR(H500,0)+IFERROR(I500,0)+IFERROR(J500,0)+IFERROR(K500,0)+IFERROR(L500,0),0))</f>
        <v/>
      </c>
      <c r="O500" s="16">
        <f>IF(A500="","",IF(M500=TRUE,IFERROR(H500,0),0))</f>
        <v/>
      </c>
      <c r="P500" s="16">
        <f>IF(A500="","",IF(M500=TRUE,IFERROR(I500,0),0))</f>
        <v/>
      </c>
      <c r="Q500" s="16">
        <f>IF(A500="","",IF(M500=TRUE,IFERROR(J500,0),0))</f>
        <v/>
      </c>
      <c r="R500" s="16">
        <f>IF(A500="","",IF(M500=TRUE,IFERROR(K500,0),0))</f>
        <v/>
      </c>
      <c r="S500" s="16">
        <f>IF(A500="","",IF(M500=TRUE,IFERROR(L500,0),0))</f>
        <v/>
      </c>
      <c r="T500" s="16">
        <f>IF(A500="","",IF(M500=TRUE,IFERROR(H500,0)+IFERROR(I500,0)+IFERROR(L500,0),0))</f>
        <v/>
      </c>
    </row>
    <row r="501">
      <c r="A501" s="10" t="n"/>
      <c r="B501" s="10" t="n"/>
      <c r="C501" s="11" t="n"/>
      <c r="D501" s="11" t="n"/>
      <c r="E501" s="10" t="n"/>
      <c r="F501" s="10" t="n"/>
      <c r="G501" s="12" t="n"/>
      <c r="H501" s="13" t="n"/>
      <c r="I501" s="13" t="n"/>
      <c r="J501" s="13" t="n"/>
      <c r="K501" s="13" t="n"/>
      <c r="L501" s="13" t="n"/>
      <c r="M501" s="17">
        <f>IF(A501="","",IFERROR(VLOOKUP(A501,Raw_CurrentMonth!A:O,15,FALSE)=TRUE,FALSE))</f>
        <v/>
      </c>
      <c r="N501" s="16">
        <f>IF(A501="","",IF(M501=TRUE,IFERROR(H501,0)+IFERROR(I501,0)+IFERROR(J501,0)+IFERROR(K501,0)+IFERROR(L501,0),0))</f>
        <v/>
      </c>
      <c r="O501" s="16">
        <f>IF(A501="","",IF(M501=TRUE,IFERROR(H501,0),0))</f>
        <v/>
      </c>
      <c r="P501" s="16">
        <f>IF(A501="","",IF(M501=TRUE,IFERROR(I501,0),0))</f>
        <v/>
      </c>
      <c r="Q501" s="16">
        <f>IF(A501="","",IF(M501=TRUE,IFERROR(J501,0),0))</f>
        <v/>
      </c>
      <c r="R501" s="16">
        <f>IF(A501="","",IF(M501=TRUE,IFERROR(K501,0),0))</f>
        <v/>
      </c>
      <c r="S501" s="16">
        <f>IF(A501="","",IF(M501=TRUE,IFERROR(L501,0),0))</f>
        <v/>
      </c>
      <c r="T501" s="16">
        <f>IF(A501="","",IF(M501=TRUE,IFERROR(H501,0)+IFERROR(I501,0)+IFERROR(L501,0),0))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2" customWidth="1" min="4" max="4"/>
    <col width="34" customWidth="1" min="5" max="5"/>
    <col width="16" customWidth="1" min="6" max="6"/>
    <col width="16" customWidth="1" min="7" max="7"/>
    <col width="14" customWidth="1" min="8" max="8"/>
    <col width="60" customWidth="1" min="9" max="9"/>
  </cols>
  <sheetData>
    <row r="1" ht="24" customHeight="1">
      <c r="A1" s="1" t="inlineStr">
        <is>
          <t>Tax Summary — Auto-Calculated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Filing month:</t>
        </is>
      </c>
      <c r="B2" s="18">
        <f>Setup!B4</f>
        <v/>
      </c>
      <c r="C2" s="2" t="n"/>
      <c r="D2" s="2" t="n"/>
      <c r="E2" s="2" t="n"/>
      <c r="F2" s="2" t="n"/>
      <c r="G2" s="2" t="n"/>
      <c r="H2" s="2" t="n"/>
      <c r="I2" s="2" t="n"/>
    </row>
    <row r="3">
      <c r="A3" s="9" t="inlineStr">
        <is>
          <t>Category</t>
        </is>
      </c>
      <c r="B3" s="9" t="inlineStr">
        <is>
          <t>Line Amount</t>
        </is>
      </c>
      <c r="C3" s="9" t="inlineStr">
        <is>
          <t>Total Amount</t>
        </is>
      </c>
      <c r="D3" s="2" t="n"/>
      <c r="E3" s="9" t="inlineStr">
        <is>
          <t>Tax Component</t>
        </is>
      </c>
      <c r="F3" s="9" t="inlineStr">
        <is>
          <t>Taxable Base</t>
        </is>
      </c>
      <c r="G3" s="9" t="inlineStr">
        <is>
          <t>Tax</t>
        </is>
      </c>
      <c r="H3" s="9" t="inlineStr">
        <is>
          <t>Use Tax</t>
        </is>
      </c>
      <c r="I3" s="9" t="inlineStr">
        <is>
          <t>Notes</t>
        </is>
      </c>
    </row>
    <row r="4">
      <c r="A4" s="19" t="inlineStr">
        <is>
          <t>Total Rooms Revenue (taxable)</t>
        </is>
      </c>
      <c r="B4" s="20">
        <f>SUM(Raw_CurrentMonth!S2:S501)</f>
        <v/>
      </c>
      <c r="C4" s="16">
        <f>B4</f>
        <v/>
      </c>
      <c r="D4" s="2" t="n"/>
      <c r="E4" s="19" t="inlineStr">
        <is>
          <t>State Sales Tax</t>
        </is>
      </c>
      <c r="F4" s="16">
        <f>C9</f>
        <v/>
      </c>
      <c r="G4" s="16">
        <f>F4*Setup!B9</f>
        <v/>
      </c>
      <c r="H4" s="16">
        <f>Setup!B6*Setup!B9</f>
        <v/>
      </c>
      <c r="I4" s="7" t="inlineStr">
        <is>
          <t>Base: all taxable revenue. Use tax applied to Setup!B6.</t>
        </is>
      </c>
    </row>
    <row r="5">
      <c r="A5" s="19" t="inlineStr">
        <is>
          <t>Pet Fees (taxable)</t>
        </is>
      </c>
      <c r="B5" s="20">
        <f>SUM(Raw_CurrentMonth!T2:T501)</f>
        <v/>
      </c>
      <c r="C5" s="16">
        <f>B5</f>
        <v/>
      </c>
      <c r="D5" s="2" t="n"/>
      <c r="E5" s="19" t="inlineStr">
        <is>
          <t>Municipal Gross Receipts (BBB) — Tea</t>
        </is>
      </c>
      <c r="F5" s="16">
        <f>C9+Setup!B6</f>
        <v/>
      </c>
      <c r="G5" s="16">
        <f>F5*Setup!B11</f>
        <v/>
      </c>
      <c r="H5" s="16" t="n"/>
      <c r="I5" s="7" t="inlineStr">
        <is>
          <t>1% on lodging/prepared food/alcohol/admissions + use tax base.</t>
        </is>
      </c>
    </row>
    <row r="6">
      <c r="A6" s="19" t="inlineStr">
        <is>
          <t>All Other Items and Services (taxable)</t>
        </is>
      </c>
      <c r="B6" s="20">
        <f>SUM(Raw_CurrentMonth!U2:U501)</f>
        <v/>
      </c>
      <c r="C6" s="16">
        <f>B6</f>
        <v/>
      </c>
      <c r="D6" s="2" t="n"/>
      <c r="E6" s="19" t="inlineStr">
        <is>
          <t>Municipal Sales Tax (Tea)</t>
        </is>
      </c>
      <c r="F6" s="16">
        <f>C9+Setup!B6</f>
        <v/>
      </c>
      <c r="G6" s="16">
        <f>F6*Setup!B10</f>
        <v/>
      </c>
      <c r="H6" s="16" t="n"/>
      <c r="I6" s="7" t="inlineStr">
        <is>
          <t>2% on all sales + use tax base (Tea municipal rate).</t>
        </is>
      </c>
    </row>
    <row r="7">
      <c r="A7" s="19" t="inlineStr">
        <is>
          <t>Bartab (taxable)</t>
        </is>
      </c>
      <c r="B7" s="20">
        <f>SUM(Raw_CurrentMonth!V2:V501)</f>
        <v/>
      </c>
      <c r="C7" s="16">
        <f>B7</f>
        <v/>
      </c>
      <c r="D7" s="2" t="n"/>
      <c r="E7" s="19" t="inlineStr">
        <is>
          <t>Tourism Tax (lodging only)</t>
        </is>
      </c>
      <c r="F7" s="16">
        <f>SUM(Raw_CurrentMonth!X2:X501)</f>
        <v/>
      </c>
      <c r="G7" s="16">
        <f>F7*Setup!B12</f>
        <v/>
      </c>
      <c r="H7" s="16" t="n"/>
      <c r="I7" s="7" t="inlineStr">
        <is>
          <t>1.5% on lodging gross receipts (rooms + pet fees + room adjustments).</t>
        </is>
      </c>
    </row>
    <row r="8">
      <c r="A8" s="19" t="inlineStr">
        <is>
          <t>Room Rate Adjustments (taxable)</t>
        </is>
      </c>
      <c r="B8" s="20">
        <f>SUM(Raw_CurrentMonth!W2:W501)</f>
        <v/>
      </c>
      <c r="C8" s="16">
        <f>B8</f>
        <v/>
      </c>
      <c r="D8" s="2" t="n"/>
      <c r="E8" s="19" t="inlineStr">
        <is>
          <t>Prior-Month Tax Refund (28-day)</t>
        </is>
      </c>
      <c r="F8" s="16">
        <f>C17</f>
        <v/>
      </c>
      <c r="G8" s="16">
        <f>-(F8*(Setup!B9+Setup!B10+Setup!B11))</f>
        <v/>
      </c>
      <c r="H8" s="16" t="n"/>
      <c r="I8" s="7" t="inlineStr">
        <is>
          <t>Tax paid last month on reservations that are now 28-day-exempt. Lodging portion also gets tourism tax refund (row 9).</t>
        </is>
      </c>
    </row>
    <row r="9">
      <c r="A9" s="21" t="inlineStr">
        <is>
          <t xml:space="preserve">  Total Taxable Sales Base</t>
        </is>
      </c>
      <c r="B9" s="2" t="n"/>
      <c r="C9" s="22">
        <f>SUM(C4:C8)</f>
        <v/>
      </c>
      <c r="D9" s="2" t="n"/>
      <c r="E9" s="19" t="inlineStr">
        <is>
          <t>Prior-Month Tourism Refund (28-day)</t>
        </is>
      </c>
      <c r="F9" s="16">
        <f>SUM(Raw_PriorMonth!T2:T501)</f>
        <v/>
      </c>
      <c r="G9" s="16">
        <f>-(F9*Setup!B12)</f>
        <v/>
      </c>
      <c r="H9" s="16" t="n"/>
      <c r="I9" s="7" t="inlineStr">
        <is>
          <t>1.5% refund on prior-month lodging revenue now 28-day-exempt.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3" t="inlineStr">
        <is>
          <t>Prior Month 28-Day Refund (revenue backed out)</t>
        </is>
      </c>
      <c r="B11" s="2" t="n"/>
      <c r="C11" s="2" t="n"/>
      <c r="D11" s="2" t="n"/>
      <c r="E11" s="21" t="inlineStr">
        <is>
          <t>TOTAL SALES TAX (net of refunds)</t>
        </is>
      </c>
      <c r="F11" s="2" t="n"/>
      <c r="G11" s="24">
        <f>SUM(G4:G9)</f>
        <v/>
      </c>
      <c r="H11" s="2" t="n"/>
      <c r="I11" s="2" t="n"/>
    </row>
    <row r="12">
      <c r="A12" s="19" t="inlineStr">
        <is>
          <t>Rooms revenue refund</t>
        </is>
      </c>
      <c r="B12" s="2" t="n"/>
      <c r="C12" s="20">
        <f>SUM(Raw_PriorMonth!O2:O501)</f>
        <v/>
      </c>
      <c r="D12" s="2" t="n"/>
      <c r="E12" s="21" t="inlineStr">
        <is>
          <t>TOTAL USE TAX (state)</t>
        </is>
      </c>
      <c r="F12" s="2" t="n"/>
      <c r="G12" s="2" t="n"/>
      <c r="H12" s="24">
        <f>H4</f>
        <v/>
      </c>
      <c r="I12" s="2" t="n"/>
    </row>
    <row r="13">
      <c r="A13" s="19" t="inlineStr">
        <is>
          <t>Pet fees refund</t>
        </is>
      </c>
      <c r="B13" s="2" t="n"/>
      <c r="C13" s="20">
        <f>SUM(Raw_PriorMonth!P2:P501)</f>
        <v/>
      </c>
      <c r="D13" s="2" t="n"/>
      <c r="E13" s="21" t="inlineStr">
        <is>
          <t>GRAND TOTAL DUE</t>
        </is>
      </c>
      <c r="F13" s="2" t="n"/>
      <c r="G13" s="24">
        <f>G11+H12</f>
        <v/>
      </c>
      <c r="H13" s="2" t="n"/>
      <c r="I13" s="2" t="n"/>
    </row>
    <row r="14">
      <c r="A14" s="19" t="inlineStr">
        <is>
          <t>Other items refund</t>
        </is>
      </c>
      <c r="B14" s="2" t="n"/>
      <c r="C14" s="20">
        <f>SUM(Raw_PriorMonth!Q2:Q501)</f>
        <v/>
      </c>
      <c r="D14" s="2" t="n"/>
      <c r="E14" s="2" t="n"/>
      <c r="F14" s="2" t="n"/>
      <c r="G14" s="2" t="n"/>
      <c r="H14" s="2" t="n"/>
      <c r="I14" s="2" t="n"/>
    </row>
    <row r="15">
      <c r="A15" s="19" t="inlineStr">
        <is>
          <t>Bartab refund</t>
        </is>
      </c>
      <c r="B15" s="2" t="n"/>
      <c r="C15" s="20">
        <f>SUM(Raw_PriorMonth!R2:R501)</f>
        <v/>
      </c>
      <c r="D15" s="2" t="n"/>
      <c r="E15" s="2" t="n"/>
      <c r="F15" s="2" t="n"/>
      <c r="G15" s="2" t="n"/>
      <c r="H15" s="2" t="n"/>
      <c r="I15" s="2" t="n"/>
    </row>
    <row r="16">
      <c r="A16" s="19" t="inlineStr">
        <is>
          <t>Room adjustments refund</t>
        </is>
      </c>
      <c r="B16" s="2" t="n"/>
      <c r="C16" s="20">
        <f>SUM(Raw_PriorMonth!S2:S501)</f>
        <v/>
      </c>
      <c r="D16" s="2" t="n"/>
      <c r="E16" s="2" t="n"/>
      <c r="F16" s="2" t="n"/>
      <c r="G16" s="2" t="n"/>
      <c r="H16" s="2" t="n"/>
      <c r="I16" s="2" t="n"/>
    </row>
    <row r="17">
      <c r="A17" s="21" t="inlineStr">
        <is>
          <t xml:space="preserve">  Total Prior-Month Refund Base</t>
        </is>
      </c>
      <c r="B17" s="2" t="n"/>
      <c r="C17" s="22">
        <f>SUM(C12:C16)</f>
        <v/>
      </c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3" t="inlineStr">
        <is>
          <t>Exempt Revenue Summary (informational — report to state as exempt)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19" t="inlineStr">
        <is>
          <t>State-agency exempt revenue (current month)</t>
        </is>
      </c>
      <c r="B20" s="2" t="n"/>
      <c r="C20" s="20">
        <f>SUM(Raw_CurrentMonth!Y2:Y501)</f>
        <v/>
      </c>
      <c r="D20" s="2" t="n"/>
      <c r="E20" s="2" t="n"/>
      <c r="F20" s="2" t="n"/>
      <c r="G20" s="2" t="n"/>
      <c r="H20" s="2" t="n"/>
      <c r="I20" s="2" t="n"/>
    </row>
    <row r="21">
      <c r="A21" s="19" t="inlineStr">
        <is>
          <t>28-day exempt revenue (current month)</t>
        </is>
      </c>
      <c r="B21" s="2" t="n"/>
      <c r="C21" s="20">
        <f>SUM(Raw_CurrentMonth!Z2:Z501)</f>
        <v/>
      </c>
      <c r="D21" s="2" t="n"/>
      <c r="E21" s="2" t="n"/>
      <c r="F21" s="2" t="n"/>
      <c r="G21" s="2" t="n"/>
      <c r="H21" s="2" t="n"/>
      <c r="I21" s="2" t="n"/>
    </row>
  </sheetData>
  <mergeCells count="3">
    <mergeCell ref="A1:I1"/>
    <mergeCell ref="A19:C19"/>
    <mergeCell ref="A11:C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64" customWidth="1" min="2" max="2"/>
    <col width="18" customWidth="1" min="3" max="3"/>
    <col width="18" customWidth="1" min="4" max="4"/>
  </cols>
  <sheetData>
    <row r="1" ht="24" customHeight="1">
      <c r="A1" s="1" t="inlineStr">
        <is>
          <t>State Filing — Enter These Numbers on the SD DOR Portal</t>
        </is>
      </c>
      <c r="B1" s="2" t="n"/>
      <c r="C1" s="2" t="n"/>
      <c r="D1" s="2" t="n"/>
    </row>
    <row r="2">
      <c r="A2" s="3" t="inlineStr">
        <is>
          <t>Filing month:</t>
        </is>
      </c>
      <c r="B2" s="18">
        <f>Setup!B4</f>
        <v/>
      </c>
      <c r="C2" s="2" t="n"/>
      <c r="D2" s="2" t="n"/>
    </row>
    <row r="3">
      <c r="A3" s="2" t="n"/>
      <c r="B3" s="2" t="n"/>
      <c r="C3" s="2" t="n"/>
      <c r="D3" s="2" t="n"/>
    </row>
    <row r="4">
      <c r="A4" s="9" t="inlineStr">
        <is>
          <t>Line</t>
        </is>
      </c>
      <c r="B4" s="9" t="inlineStr">
        <is>
          <t>Description</t>
        </is>
      </c>
      <c r="C4" s="9" t="inlineStr">
        <is>
          <t>Taxable Base</t>
        </is>
      </c>
      <c r="D4" s="9" t="inlineStr">
        <is>
          <t>Tax Due</t>
        </is>
      </c>
    </row>
    <row r="5">
      <c r="A5" s="25" t="inlineStr">
        <is>
          <t>1</t>
        </is>
      </c>
      <c r="B5" s="26" t="inlineStr">
        <is>
          <t>Gross sales (rooms + pet + other + bar + adj — current month, taxable + exempt)</t>
        </is>
      </c>
      <c r="C5" s="27">
        <f>Tax_Summary!C9+Tax_Summary!C20+Tax_Summary!C21</f>
        <v/>
      </c>
      <c r="D5" s="2" t="n"/>
    </row>
    <row r="6">
      <c r="A6" s="25" t="inlineStr">
        <is>
          <t>2</t>
        </is>
      </c>
      <c r="B6" s="26" t="inlineStr">
        <is>
          <t>Exempt sales (state-agency + 28-day)</t>
        </is>
      </c>
      <c r="C6" s="27">
        <f>Tax_Summary!C20+Tax_Summary!C21</f>
        <v/>
      </c>
      <c r="D6" s="2" t="n"/>
    </row>
    <row r="7">
      <c r="A7" s="25" t="inlineStr">
        <is>
          <t>3</t>
        </is>
      </c>
      <c r="B7" s="26" t="inlineStr">
        <is>
          <t>Net taxable sales (line 1 − line 2)</t>
        </is>
      </c>
      <c r="C7" s="27">
        <f>C5-C6</f>
        <v/>
      </c>
      <c r="D7" s="2" t="n"/>
    </row>
    <row r="8">
      <c r="A8" s="25" t="inlineStr">
        <is>
          <t>4</t>
        </is>
      </c>
      <c r="B8" s="26" t="inlineStr">
        <is>
          <t>State sales tax (4.2%)</t>
        </is>
      </c>
      <c r="C8" s="27">
        <f>Tax_Summary!F4</f>
        <v/>
      </c>
      <c r="D8" s="27">
        <f>Tax_Summary!G4</f>
        <v/>
      </c>
    </row>
    <row r="9">
      <c r="A9" s="25" t="inlineStr">
        <is>
          <t>5</t>
        </is>
      </c>
      <c r="B9" s="26" t="inlineStr">
        <is>
          <t>Municipal sales tax — Tea (2.0%)</t>
        </is>
      </c>
      <c r="C9" s="27">
        <f>Tax_Summary!F6</f>
        <v/>
      </c>
      <c r="D9" s="27">
        <f>Tax_Summary!G6</f>
        <v/>
      </c>
    </row>
    <row r="10">
      <c r="A10" s="25" t="inlineStr">
        <is>
          <t>6</t>
        </is>
      </c>
      <c r="B10" s="26" t="inlineStr">
        <is>
          <t>Municipal Gross Receipts (BBB) — Tea (1.0%)</t>
        </is>
      </c>
      <c r="C10" s="27">
        <f>Tax_Summary!F5</f>
        <v/>
      </c>
      <c r="D10" s="27">
        <f>Tax_Summary!G5</f>
        <v/>
      </c>
    </row>
    <row r="11">
      <c r="A11" s="25" t="inlineStr">
        <is>
          <t>7</t>
        </is>
      </c>
      <c r="B11" s="26" t="inlineStr">
        <is>
          <t>Tourism tax (1.5%, lodging only)</t>
        </is>
      </c>
      <c r="C11" s="27">
        <f>Tax_Summary!F7</f>
        <v/>
      </c>
      <c r="D11" s="27">
        <f>Tax_Summary!G7</f>
        <v/>
      </c>
    </row>
    <row r="12">
      <c r="A12" s="25" t="inlineStr">
        <is>
          <t>8</t>
        </is>
      </c>
      <c r="B12" s="26" t="inlineStr">
        <is>
          <t>Use tax (state, 4.2% on use tax base)</t>
        </is>
      </c>
      <c r="C12" s="27">
        <f>Setup!B6</f>
        <v/>
      </c>
      <c r="D12" s="27">
        <f>Tax_Summary!H4</f>
        <v/>
      </c>
    </row>
    <row r="13">
      <c r="A13" s="25" t="inlineStr">
        <is>
          <t>9</t>
        </is>
      </c>
      <c r="B13" s="26" t="inlineStr">
        <is>
          <t>Prior-month 28-day sales tax refund (credit)</t>
        </is>
      </c>
      <c r="C13" s="27">
        <f>Tax_Summary!F8</f>
        <v/>
      </c>
      <c r="D13" s="27">
        <f>Tax_Summary!G8</f>
        <v/>
      </c>
    </row>
    <row r="14">
      <c r="A14" s="25" t="inlineStr">
        <is>
          <t>10</t>
        </is>
      </c>
      <c r="B14" s="26" t="inlineStr">
        <is>
          <t>Prior-month 28-day tourism refund (credit)</t>
        </is>
      </c>
      <c r="C14" s="27">
        <f>Tax_Summary!F9</f>
        <v/>
      </c>
      <c r="D14" s="27">
        <f>Tax_Summary!G9</f>
        <v/>
      </c>
    </row>
    <row r="15">
      <c r="A15" s="28" t="inlineStr">
        <is>
          <t>11</t>
        </is>
      </c>
      <c r="B15" s="29" t="inlineStr">
        <is>
          <t>GRAND TOTAL DUE</t>
        </is>
      </c>
      <c r="C15" s="2" t="n"/>
      <c r="D15" s="27">
        <f>Tax_Summary!G13</f>
        <v/>
      </c>
    </row>
    <row r="16">
      <c r="A16" s="2" t="n"/>
      <c r="B16" s="2" t="n"/>
      <c r="C16" s="2" t="n"/>
      <c r="D16" s="2" t="n"/>
    </row>
    <row r="17" ht="30" customHeight="1">
      <c r="A17" s="7" t="inlineStr">
        <is>
          <t>Red numbers are what staff types into the SD DOR portal. Double-check line-by-line against the portal screens. DO NOT auto-submit — tax filing has legal liability; a human must review and click submit.</t>
        </is>
      </c>
      <c r="B17" s="2" t="n"/>
      <c r="C17" s="2" t="n"/>
      <c r="D17" s="2" t="n"/>
    </row>
  </sheetData>
  <mergeCells count="2">
    <mergeCell ref="A1:D1"/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2026-04-18T19:01:58Z</dcterms:created>
  <dcterms:modified xmlns:dcterms="http://purl.org/dc/terms/" xmlns:xsi="http://www.w3.org/2001/XMLSchema-instance" xsi:type="dcterms:W3CDTF">2026-04-18T19:01:58Z</dcterms:modified>
</cp:coreProperties>
</file>